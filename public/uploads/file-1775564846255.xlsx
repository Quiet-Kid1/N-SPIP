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MyBook PRO K7\Downloads\HARDDISK SEAGATE\File Laptop Acer Minahasa (Downloads)\SPIP FEBRUARI 2026\SPIP MARET 2026\"/>
    </mc:Choice>
  </mc:AlternateContent>
  <xr:revisionPtr revIDLastSave="0" documentId="8_{6498F678-74ED-4CC9-AA89-09DC37F78235}" xr6:coauthVersionLast="47" xr6:coauthVersionMax="47" xr10:uidLastSave="{00000000-0000-0000-0000-000000000000}"/>
  <bookViews>
    <workbookView xWindow="-108" yWindow="-108" windowWidth="23256" windowHeight="12456" tabRatio="783" firstSheet="1" activeTab="1" xr2:uid="{00000000-000D-0000-FFFF-FFFF00000000}"/>
  </bookViews>
  <sheets>
    <sheet name="PERENCANAAN ANGGARAN" sheetId="5" state="hidden" r:id="rId1"/>
    <sheet name="KEUANGAN (XIX.B)" sheetId="6" r:id="rId2"/>
    <sheet name="B.1 (BAP Kas)" sheetId="7" state="hidden" r:id="rId3"/>
    <sheet name="I.B" sheetId="10" state="hidden" r:id="rId4"/>
    <sheet name="I.C" sheetId="13" state="hidden" r:id="rId5"/>
    <sheet name="I.D" sheetId="15" state="hidden" r:id="rId6"/>
    <sheet name="SAKIP (I.E)" sheetId="16" state="hidden" r:id="rId7"/>
    <sheet name="I.E" sheetId="17" state="hidden" r:id="rId8"/>
    <sheet name="I.F" sheetId="18" state="hidden" r:id="rId9"/>
    <sheet name="I.i" sheetId="20" state="hidden" r:id="rId10"/>
    <sheet name="Sheet2" sheetId="26" state="hidden" r:id="rId11"/>
    <sheet name="SUBSTANSI (I.)" sheetId="22" state="hidden" r:id="rId12"/>
    <sheet name="KARTU KENDALI GRATIFIKASI " sheetId="23" state="hidden" r:id="rId13"/>
    <sheet name="KARTU KENDALI GRATIFIKASI (I.I)" sheetId="2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30" roundtripDataChecksum="bpNewA10AIBTCpMqhoY5+uOJiW2ttoaem94L7YM5tmU="/>
    </ext>
  </extLst>
</workbook>
</file>

<file path=xl/calcChain.xml><?xml version="1.0" encoding="utf-8"?>
<calcChain xmlns="http://schemas.openxmlformats.org/spreadsheetml/2006/main">
  <c r="D12" i="6" l="1"/>
  <c r="D11" i="6"/>
  <c r="D27" i="6" l="1"/>
  <c r="D16" i="6"/>
  <c r="D26" i="6" s="1"/>
  <c r="D45" i="6" l="1"/>
  <c r="D44" i="6"/>
  <c r="D41" i="6" l="1"/>
  <c r="D43" i="6" s="1"/>
  <c r="F37" i="6" l="1"/>
  <c r="E37" i="6"/>
  <c r="D37" i="6"/>
  <c r="D24" i="6" l="1"/>
  <c r="F11" i="6" l="1"/>
  <c r="F12" i="6"/>
  <c r="F13" i="6"/>
  <c r="D14" i="6"/>
  <c r="E14" i="6"/>
  <c r="F14" i="6" l="1"/>
  <c r="D28" i="6"/>
  <c r="A4" i="6" l="1"/>
  <c r="A3" i="6"/>
  <c r="X31" i="7" l="1"/>
  <c r="X30" i="7"/>
  <c r="X29" i="7"/>
  <c r="X28" i="7"/>
  <c r="X27" i="7"/>
  <c r="G26" i="7"/>
  <c r="X23" i="7"/>
  <c r="G23" i="7"/>
  <c r="X22" i="7"/>
  <c r="G22" i="7"/>
  <c r="X21" i="7"/>
  <c r="G21" i="7"/>
  <c r="G24" i="7" s="1"/>
  <c r="G27" i="7" s="1"/>
  <c r="X20" i="7"/>
  <c r="X19" i="7"/>
  <c r="X18" i="7"/>
  <c r="X17" i="7"/>
  <c r="X32" i="7" l="1"/>
  <c r="X24" i="7"/>
  <c r="X40" i="7" s="1"/>
  <c r="X42" i="7" s="1"/>
</calcChain>
</file>

<file path=xl/sharedStrings.xml><?xml version="1.0" encoding="utf-8"?>
<sst xmlns="http://schemas.openxmlformats.org/spreadsheetml/2006/main" count="763" uniqueCount="411">
  <si>
    <t xml:space="preserve">KARTU KENDALI </t>
  </si>
  <si>
    <t>SATUAN TUGAS SISTEM PENGENDALIAN INTERN KPU PROVINSI/KABUPATEN/KOTA …</t>
  </si>
  <si>
    <t>BULAN …………………………………... TAHUN 20………..</t>
  </si>
  <si>
    <t>No</t>
  </si>
  <si>
    <t>Uraian</t>
  </si>
  <si>
    <t>Sekretaris KPU</t>
  </si>
  <si>
    <t>KPU Provinsi/Kabupaten/Kota …………………</t>
  </si>
  <si>
    <t>Selaku Koordinator Penyelenggaraan SPIP</t>
  </si>
  <si>
    <t>Selaku Penyelenggara SPIP</t>
  </si>
  <si>
    <t>NIP.</t>
  </si>
  <si>
    <t>Mengetahui,</t>
  </si>
  <si>
    <t>Selaku Penanggungjawab SPIP</t>
  </si>
  <si>
    <t>dst</t>
  </si>
  <si>
    <t>NIP</t>
  </si>
  <si>
    <t>Jabatan</t>
  </si>
  <si>
    <t>Keterangan</t>
  </si>
  <si>
    <t>B</t>
  </si>
  <si>
    <t>Uraian pada Rencana Strategis (Renstra)</t>
  </si>
  <si>
    <t>Uraian pada Rencana Kerja Anggaran (RKA)</t>
  </si>
  <si>
    <t>Anggaran</t>
  </si>
  <si>
    <t>Realisasi s.d Bulan ….</t>
  </si>
  <si>
    <t>Sisa s.d Bulan ….</t>
  </si>
  <si>
    <t xml:space="preserve">(Dokumen  berupa Renstra, RKA, dan Laporan Pertanggungjawaban Penggunaan Anggaran) </t>
  </si>
  <si>
    <t>Program xxx</t>
  </si>
  <si>
    <t>Rp.</t>
  </si>
  <si>
    <t>- Kegiatan xxx</t>
  </si>
  <si>
    <t xml:space="preserve">Total </t>
  </si>
  <si>
    <t>B. KEUANGAN NEGARA DAN HIBAH</t>
  </si>
  <si>
    <t>Jadwal Pelaporan</t>
  </si>
  <si>
    <t>B.1</t>
  </si>
  <si>
    <t>APBN</t>
  </si>
  <si>
    <t>dilaporkan setiap Bulan</t>
  </si>
  <si>
    <t xml:space="preserve"> Anggaran dan Realisasi</t>
  </si>
  <si>
    <t>:</t>
  </si>
  <si>
    <t>Jenis Belanja</t>
  </si>
  <si>
    <t>- Belanja Pegawai</t>
  </si>
  <si>
    <t>- Belanja Barang</t>
  </si>
  <si>
    <t>- Belanja Modal</t>
  </si>
  <si>
    <t>PEMBUKUAN</t>
  </si>
  <si>
    <t>(Dok.  berupa BKU dan Buku Pembantu)</t>
  </si>
  <si>
    <t>a</t>
  </si>
  <si>
    <t>Saldo BKU</t>
  </si>
  <si>
    <t>b</t>
  </si>
  <si>
    <t>Saldo BP Tunai</t>
  </si>
  <si>
    <t>c</t>
  </si>
  <si>
    <t>Saldo BP Bank</t>
  </si>
  <si>
    <t>d</t>
  </si>
  <si>
    <t>Saldo BP Uang Muka</t>
  </si>
  <si>
    <t>e</t>
  </si>
  <si>
    <t>Saldo BP Pajak</t>
  </si>
  <si>
    <t>f</t>
  </si>
  <si>
    <t>Saldo BP Uang Persediaan (UP)</t>
  </si>
  <si>
    <t>g</t>
  </si>
  <si>
    <t>Saldo BP LS Bendahara</t>
  </si>
  <si>
    <t>h</t>
  </si>
  <si>
    <t>Saldo BP Lain-lain</t>
  </si>
  <si>
    <t>Selisih (a-b-c-d)</t>
  </si>
  <si>
    <t xml:space="preserve">BAP KAS </t>
  </si>
  <si>
    <t>No.  xxx,  tgl. xxx</t>
  </si>
  <si>
    <t>Kas yang dikuasai Bendahara (Kas Tunai, Saldo Bank, dan Uang Muka)</t>
  </si>
  <si>
    <t>Selisih</t>
  </si>
  <si>
    <t>Ada/Tidak</t>
  </si>
  <si>
    <t>Rekap Pokja</t>
  </si>
  <si>
    <t xml:space="preserve">(Lampiran B.3) </t>
  </si>
  <si>
    <t>Rekap Perjalanan Dinas</t>
  </si>
  <si>
    <t xml:space="preserve">(Lampiran B.4) </t>
  </si>
  <si>
    <t>B.2</t>
  </si>
  <si>
    <t>HIBAH</t>
  </si>
  <si>
    <t>a. dilaporkan setiap Bulan
b. Jika tidak menerima hibah tidak perlu dilaporkan</t>
  </si>
  <si>
    <t>Anggaran dan Realisasi</t>
  </si>
  <si>
    <t>-</t>
  </si>
  <si>
    <t>Saldo Tunai di Bendahara</t>
  </si>
  <si>
    <t>(Dok. Register Penutupan kas)</t>
  </si>
  <si>
    <t>Saldo Rekening Koran</t>
  </si>
  <si>
    <t>(Dok.  berupa Rekening Koran)</t>
  </si>
  <si>
    <t>Total (Tunai dan Saldo Bank)</t>
  </si>
  <si>
    <t xml:space="preserve">(Lampiran B.1) </t>
  </si>
  <si>
    <t>B.3</t>
  </si>
  <si>
    <t>Pelaporan Keuangan</t>
  </si>
  <si>
    <t>Dilaporkan per semester</t>
  </si>
  <si>
    <t>CaLK</t>
  </si>
  <si>
    <t>(Dok.  berupa CaLK dan data dukungnya)</t>
  </si>
  <si>
    <t>CaLBMN</t>
  </si>
  <si>
    <t>(Dok. berupa CaLBMN dan data dukungnya)</t>
  </si>
  <si>
    <t>B.4</t>
  </si>
  <si>
    <t>Kelompok Kerja</t>
  </si>
  <si>
    <t>a. dilaporkan setiap Bulan
b. Jika tidak ada Pokja tidak perlu dilaporkan</t>
  </si>
  <si>
    <t>Ada/Tidak Ada</t>
  </si>
  <si>
    <t>Output Pokja</t>
  </si>
  <si>
    <t>(Dok. Pendukung berupa Laporan/Progres Pokja, nominatif pembayaran)</t>
  </si>
  <si>
    <t>Mengetahui</t>
  </si>
  <si>
    <t xml:space="preserve">Divisi Hukum dan Pengawasan </t>
  </si>
  <si>
    <t>(………………………………………..……………………)</t>
  </si>
  <si>
    <t>NIP. ……………………………………..</t>
  </si>
  <si>
    <t>Lampiran I.B.1</t>
  </si>
  <si>
    <t>BERITA ACARA PEMERIKSAAN KAS APBN/HIBAH*</t>
  </si>
  <si>
    <t>Nomor : ….....................................</t>
  </si>
  <si>
    <t>Pada hari ini …...... tanggal …....... Bulan ….... Tahun  …............ bertempat di Kantor KPU….............yang beralamat di …........................., kami :</t>
  </si>
  <si>
    <t xml:space="preserve">Nama </t>
  </si>
  <si>
    <t>REGISTER PENUTUPAN KAS APBN/HIBAH*</t>
  </si>
  <si>
    <t>Sekretaris KPU …..............</t>
  </si>
  <si>
    <t xml:space="preserve">Tanggal penutupan kas </t>
  </si>
  <si>
    <t>Nama penutup kas/pemegang kas</t>
  </si>
  <si>
    <t xml:space="preserve">Tanggal penutupan kas   yang lalu  </t>
  </si>
  <si>
    <t>Pejabat Pembuat Komitmen KPU …...........</t>
  </si>
  <si>
    <t>Saldo Buku Per tanggal …....</t>
  </si>
  <si>
    <t>Terdiri dari :</t>
  </si>
  <si>
    <t>Nama lengkap</t>
  </si>
  <si>
    <t xml:space="preserve"> 1. Uang Kertas</t>
  </si>
  <si>
    <t>Bendahara Pengeluaran APBN/HIBAH KPU ….....</t>
  </si>
  <si>
    <t>Lembaran uang kertas</t>
  </si>
  <si>
    <t>lembar</t>
  </si>
  <si>
    <t xml:space="preserve">Rp.          </t>
  </si>
  <si>
    <t>Telah mengadakan pemeriksaan kas dengan hasil pemeriksaan kas serta bukti-bukti yang berada dalam pengurusan itu, kami menemui kenyataan sebagai berikut:</t>
  </si>
  <si>
    <t>Uang kertas/logam</t>
  </si>
  <si>
    <t xml:space="preserve">Saldo Bank                                                           </t>
  </si>
  <si>
    <t>Bukti Pengeluaran yang belum di SPJ-kan</t>
  </si>
  <si>
    <t>+</t>
  </si>
  <si>
    <t>Jumlah (a+b+c)</t>
  </si>
  <si>
    <t>Jumlah Uang Kertas</t>
  </si>
  <si>
    <t xml:space="preserve">Rp.  </t>
  </si>
  <si>
    <t>Saldo menurut  buku Kas Umum, register dan lain sebagainya berjumlah Per Tanggal ….............</t>
  </si>
  <si>
    <t xml:space="preserve"> 2. Uang Logam</t>
  </si>
  <si>
    <t>Perbedaan Kurang/Lebih (d-e)</t>
  </si>
  <si>
    <t xml:space="preserve">Kepingan uang logam </t>
  </si>
  <si>
    <t>keping</t>
  </si>
  <si>
    <t>Penjelasan selisih :</t>
  </si>
  <si>
    <t>Jumlah Uang Logam</t>
  </si>
  <si>
    <t>…................., …................2XXX</t>
  </si>
  <si>
    <t>3. Kertas berharga dan bagian kas yang diizinkan ordonansi :</t>
  </si>
  <si>
    <t>Bendahahara Pengeluaran</t>
  </si>
  <si>
    <t xml:space="preserve">Saldo Bank </t>
  </si>
  <si>
    <t xml:space="preserve">Rp.   </t>
  </si>
  <si>
    <t>Sekretaris KPU ….............</t>
  </si>
  <si>
    <t xml:space="preserve">kertas berharga, SP2D, wesel, cek dan lain sebagainya </t>
  </si>
  <si>
    <t>4. Bukti Pengeluaran yang belum di SPJ-kan/Uang Muka</t>
  </si>
  <si>
    <t>…..................</t>
  </si>
  <si>
    <t>…......................</t>
  </si>
  <si>
    <t>Jumlah saldo berupa uang tunai, saldo Bank dan kertas berharga  (1+2+3+4)</t>
  </si>
  <si>
    <t xml:space="preserve">NIP. </t>
  </si>
  <si>
    <t>Perbedaan (saldo buku – saldo kas) per tanggal …................</t>
  </si>
  <si>
    <t>Pejabat Pembuat Komitmen</t>
  </si>
  <si>
    <t>Penjelasan perbedaan:</t>
  </si>
  <si>
    <t>Catatan: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</si>
  <si>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</si>
  <si>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>Nilai (Rp)</t>
  </si>
  <si>
    <t>Jumlah</t>
  </si>
  <si>
    <t>PETUNJUK PENGISIAN</t>
  </si>
  <si>
    <t>NOMOR</t>
  </si>
  <si>
    <t>URAIAN ISIAN</t>
  </si>
  <si>
    <t>Diisi jumlah nominal Laporan Realisasi Anggaran Rutin APBN</t>
  </si>
  <si>
    <t>Diisi nomor, tanggal dan jumlah nominal Berita Acara Pemeriksaan Kas APBN</t>
  </si>
  <si>
    <t>Diisi BKU APBN</t>
  </si>
  <si>
    <t>Diisi nomor, tanggal dan jumlah nominal NPHD</t>
  </si>
  <si>
    <t>Diisi jumlah nominal Laporan Realisasi Anggaran Hibah</t>
  </si>
  <si>
    <t>Diisi nomor, tanggal dan jumlah nominal Berita Acara Pemeriksaan Kas Hibah</t>
  </si>
  <si>
    <t>Diisi BKU Hibah</t>
  </si>
  <si>
    <t>Diisi Laporan Pokja/Kegiatan</t>
  </si>
  <si>
    <t>Diisi laporan progress tindak lanjut LHP BPK dan LHP APIP</t>
  </si>
  <si>
    <t xml:space="preserve">Diisi Laporan keuangan ada atau tidak </t>
  </si>
  <si>
    <t>Diisi Calk dan ADK Saiba ada atau tidak</t>
  </si>
  <si>
    <t>Diisi rekap bukti Laporan pertanggungjawaban (LPJ)</t>
  </si>
  <si>
    <t>Sekretaris KPU/KIP Kabupaten/Kota</t>
  </si>
  <si>
    <t>Diisi Nomor dan tanggal SPK atau kuitansi, Nomor dan tanggal BAST, serta jumlah nominal pengadaan barang/jasa APBN dibawah 200 juta</t>
  </si>
  <si>
    <t>Diisi Nomor dan tanggal SPK atau kuitansi, Nomor dan tanggal BAST, serta jumlah nominal pengadaan barang/jasa APBN diatas 200 juta</t>
  </si>
  <si>
    <t>Diisi Nomor dan tanggal SPK atau kuitansi, Nomor dan tanggal BAST, serta jumlah nominal pengadaan barang/jasa Hibah dibawah 200 juta</t>
  </si>
  <si>
    <t>Diisi Nomor dan tanggal SPK atau kuitansi, Nomor dan tanggal BAST, serta jumlah nominal pengadaan barang/jasa Hibah diatas 200 juta</t>
  </si>
  <si>
    <t>BULAN …………………………………... TAHUN 2XXX</t>
  </si>
  <si>
    <t>Diisi laporan persediaan ada atau tidak</t>
  </si>
  <si>
    <t xml:space="preserve">Diisi nomor, tanggal dan lampiran Berita Acara Stock Persediaan </t>
  </si>
  <si>
    <t>Diisi nomor, tanggal dan lampiran Berita Acara Rekon SAKPA dan SIMAK BMN</t>
  </si>
  <si>
    <t>Diisi nomor, tanggal dan lampiran Berita Acara Rekon KPKNL</t>
  </si>
  <si>
    <t>Diisi nomor, tanggal dan lampiran Berita Acara Kondisi Barang (BMN)</t>
  </si>
  <si>
    <t>Diisi nomor, tanggal dan lampiran Berita Acara Stock Opname aset BMN</t>
  </si>
  <si>
    <t>Diisi ada atau tidak Calk dan ADK Simak Bmn</t>
  </si>
  <si>
    <t>Lampiran I.E</t>
  </si>
  <si>
    <t>TAHUN 20………..</t>
  </si>
  <si>
    <t>E. SAKIP</t>
  </si>
  <si>
    <t>RENSTRA</t>
  </si>
  <si>
    <t>Ada / Tidak</t>
  </si>
  <si>
    <t>(Terlampir)</t>
  </si>
  <si>
    <t>Per tahun</t>
  </si>
  <si>
    <t>INDIKATOR KINERJA UTAMA (IKU)</t>
  </si>
  <si>
    <t>RENCANA KINERJA TAHUNAN (RKT)</t>
  </si>
  <si>
    <t>PERJANJIAN KINERJA</t>
  </si>
  <si>
    <t>RENCANA AKSI KINERJA</t>
  </si>
  <si>
    <t>LAPORAN KINERJA</t>
  </si>
  <si>
    <t>……………………..., …………………………...20.…</t>
  </si>
  <si>
    <t>Diisi ada atau tidak Renstra</t>
  </si>
  <si>
    <t>Diisi ada atau tidak Indikator Kinerja Utama (IKU)</t>
  </si>
  <si>
    <t>Diisi ada atau tidak Rencana Kinerja Tahunan (RKT)</t>
  </si>
  <si>
    <t>Diisi ada atau tidak Perjanjian Kinerja (PK)</t>
  </si>
  <si>
    <t xml:space="preserve">Diisi ada atau tidak Rencana Aksi Kinerja </t>
  </si>
  <si>
    <t xml:space="preserve">Diisi ada atau tidak Laporan Kinerja </t>
  </si>
  <si>
    <t>Diisi Nomor urut</t>
  </si>
  <si>
    <t>Diisi nama pegawai</t>
  </si>
  <si>
    <t>Diisi jabatan pegawai</t>
  </si>
  <si>
    <t>Diisi bulan melaksanakan perjalanan dinas</t>
  </si>
  <si>
    <t>Diisi Keterangan</t>
  </si>
  <si>
    <t>Diisi Nomor urut bukti pertanggungjawaban APBN/hibah</t>
  </si>
  <si>
    <t>Diisi tanggal bukti pertanggunjawaban APBN/Hibah</t>
  </si>
  <si>
    <t>Diisi uraian bukti pertanggungjawaban APBN/Hibah</t>
  </si>
  <si>
    <t>Diisi jumlah nominal bukti pertanggungjawaban APBN/Hibah</t>
  </si>
  <si>
    <t>Diisi nama penerima bukti pertanggungjawaban APBN/Hibah</t>
  </si>
  <si>
    <t xml:space="preserve">beri tanda "√" sesuai jenis belanja </t>
  </si>
  <si>
    <t>beri tanda "√" sesuai bukti pendukung</t>
  </si>
  <si>
    <t>Diisi keterangan</t>
  </si>
  <si>
    <t>Lampiran I…</t>
  </si>
  <si>
    <t>II. ….................................</t>
  </si>
  <si>
    <t>Tahapan</t>
  </si>
  <si>
    <t>Jadwal sesuai PKPU tentang Tahapan Pemilu/Pemilihan Serentak</t>
  </si>
  <si>
    <t>Realisasi</t>
  </si>
  <si>
    <t>Permasalahan</t>
  </si>
  <si>
    <t>Rencana Pemecahan Masalah</t>
  </si>
  <si>
    <t>Realisasi Pemecahan Masalah</t>
  </si>
  <si>
    <t>Awal</t>
  </si>
  <si>
    <t>Akhir</t>
  </si>
  <si>
    <t>Perencanaan program dan anggaran serta penyusunan peraturan pelaksanaan penyelenggaraan Pemilu</t>
  </si>
  <si>
    <t>Penyusunan perencanaan, program, dan anggaran Pemilu</t>
  </si>
  <si>
    <t>Selasa, 14 Juni 2022</t>
  </si>
  <si>
    <t>Jumat, 14 Juni 2024</t>
  </si>
  <si>
    <t>1.
2.
dst..</t>
  </si>
  <si>
    <t>Penyusunan Peraturan KPU</t>
  </si>
  <si>
    <t>Kamis, 14 Desember 2023</t>
  </si>
  <si>
    <t>Pemutakhiran data Pemilih dan Penyusunan daftar Pemilih</t>
  </si>
  <si>
    <t>Jumat, 14 Oktober 2022</t>
  </si>
  <si>
    <t>Rabu, 21 Juni 2023</t>
  </si>
  <si>
    <t>Pendaftaran dan verifikasi Peserta Pemilu</t>
  </si>
  <si>
    <t>Jumat, 29 Juli 2022</t>
  </si>
  <si>
    <t>Selasa, 13 Desember 2022</t>
  </si>
  <si>
    <t>Penetapan Peserta Pemilu</t>
  </si>
  <si>
    <t>Rabu, 14 Desember 2022</t>
  </si>
  <si>
    <t>Penetapan jumlah kursi dan penetapan dapil</t>
  </si>
  <si>
    <t>Kamis, 9 Februari 2023</t>
  </si>
  <si>
    <t>Pencalonan Presiden dan Wapres serta anggota DPR, DPD, DPRD Prov/Kab/Kota</t>
  </si>
  <si>
    <t>Anggota DPD</t>
  </si>
  <si>
    <t>Selasa, 6 Desember 2022</t>
  </si>
  <si>
    <t>Sabtu, 25 November 2023</t>
  </si>
  <si>
    <t>Anggota DPR, DPRD Provinsi dan DPRD Kabupaten/Kota</t>
  </si>
  <si>
    <t>Senin, 24 April 2023</t>
  </si>
  <si>
    <t>Presiden dan Wakil Presiden</t>
  </si>
  <si>
    <t>Kamis, 19 Oktober 2023</t>
  </si>
  <si>
    <t>Masa Kampanye Pemilu</t>
  </si>
  <si>
    <t>Selasa, 28 November 2024</t>
  </si>
  <si>
    <t>Sabtu, 10 Februari 2024</t>
  </si>
  <si>
    <t>Masa Tenang</t>
  </si>
  <si>
    <t>Minggu, 11 Februari 2024</t>
  </si>
  <si>
    <t>Selasa, 13 Februari 2024</t>
  </si>
  <si>
    <t>Pemungutan dan penghitungan suara</t>
  </si>
  <si>
    <t>Pemungutan Suara</t>
  </si>
  <si>
    <t>Rabu, 14 Februari 2024</t>
  </si>
  <si>
    <t>Penghitungan Suara</t>
  </si>
  <si>
    <t>Kamis, 15 Februari 2024</t>
  </si>
  <si>
    <t>Rekapitulasi hasil penghitungan suara</t>
  </si>
  <si>
    <t>Rabu, 20 Maret 2024</t>
  </si>
  <si>
    <t>Penetapan Hasil Pemilu</t>
  </si>
  <si>
    <t>Penetapan Presiden dan Wakil Presiden Terpilih</t>
  </si>
  <si>
    <t>1)</t>
  </si>
  <si>
    <t>Tidak terdapat permohonan perselisihan hasil Pemilu</t>
  </si>
  <si>
    <t>paling lambat 3 (tiga) hari setelah KPU memperoleh
surat pemberitahuan dari Mahkamah Konstitusi
mengenai daftar permohonan perselisihan hasil Pemilu
Presiden dan Wakil Presiden</t>
  </si>
  <si>
    <t>2)</t>
  </si>
  <si>
    <t>Terdapat permohonan perselisihan hasil Pemilu</t>
  </si>
  <si>
    <t>paling lambat 3 (tiga) hari setelah putusan Mahkamah Konstitusi dibacakan
mengenai daftar permohonan perselisihan hasil Pemilu
Presiden dan Wakil Presiden</t>
  </si>
  <si>
    <t>Penetapan perolehan kursi dan calon terpilih anggota DPR, DPRD provinsi dan DPRD kabupaten/kota</t>
  </si>
  <si>
    <t>Anggota DPR</t>
  </si>
  <si>
    <t>a) Tidak terdapat permohonan perselisihan hasil Pemilu</t>
  </si>
  <si>
    <t>paling lambat 3 (tiga) hari setelah KPU memperoleh
surat pemberitahuan dari Mahkamah Konstitusi
mengenai daftar permohonan perselisihan hasil Pemilu
Anggota DPR</t>
  </si>
  <si>
    <t>b) Terdapat permohonan perselisihan hasil Pemilu</t>
  </si>
  <si>
    <t>paling lambat 3 (tiga) hari setelah KPU menetapkan hasil Pemilu secara nasional pasca putusan Mahkamah Konstitusi
mengenai daftar permohonan perselisihan hasil Pemilu
Presiden dan Wakil Presiden</t>
  </si>
  <si>
    <t>Anggota DPRD Provinsi</t>
  </si>
  <si>
    <t>paling lambat 3 (tiga) hari setelah KPU memperoleh
surat pemberitahuan dari Mahkamah Konstitusi
mengenai daftar permohonan perselisihan hasil Pemilu
Anggota DPRD Provinsi</t>
  </si>
  <si>
    <t>3)</t>
  </si>
  <si>
    <t>Anggota DPRD Kabupaten/Kota</t>
  </si>
  <si>
    <t>paling lambat 3 (tiga) hari setelah KPU memperoleh
surat pemberitahuan dari Mahkamah Konstitusi
mengenai daftar permohonan perselisihan hasil Pemilu
Anggota DPRD Kabupaten/Kota</t>
  </si>
  <si>
    <t>Penetapan calon terpilih DPD</t>
  </si>
  <si>
    <t>paling lambat 3 (tiga) hari setelah KPU memperoleh
surat pemberitahuan dari Mahkamah Konstitusi
mengenai daftar permohonan perselisihan hasil Pemilu
Anggota DPD</t>
  </si>
  <si>
    <t>Pengucapan sumpah/janji Presiden dan Wakil Presiden serta anggota DPR, DPD, DPRD Provinsi dan DPRD kabupaten/kota</t>
  </si>
  <si>
    <t>DPRD Kabupaten/Kota</t>
  </si>
  <si>
    <t>Disesuaikan dengan akhir masa jabatan masing-masing anggota DPRD kabupaten/kota</t>
  </si>
  <si>
    <t>DPRD Provinsi</t>
  </si>
  <si>
    <t>Disesuaikan dengan akhir masa jabatan masing-masing anggota DPRD Provinsi</t>
  </si>
  <si>
    <t>DPR dan DPD</t>
  </si>
  <si>
    <t>Selasa, 1 Oktober 2024</t>
  </si>
  <si>
    <t>Minggu, 20 Oktober 2024</t>
  </si>
  <si>
    <t>KARTU KENDALI</t>
  </si>
  <si>
    <t>KOORDINATOR SATKER KPU/KIP PROVINSI/KABUPATEN/KOTA …</t>
  </si>
  <si>
    <t>SATUAN TUGAS SISTEM PENGENDALIAN INTERN KOMISI PEMILIHAN UMUM</t>
  </si>
  <si>
    <t>BULAN ….. TAHUN 20 ….</t>
  </si>
  <si>
    <t>E.</t>
  </si>
  <si>
    <t>PELAPORAN PENGENDALIAN GRATIFIKASI</t>
  </si>
  <si>
    <t>1.</t>
  </si>
  <si>
    <t>Rekapitulsai Pelaporan Gratifikasi Berdasarkan Unit Kerja Asal Pelapor</t>
  </si>
  <si>
    <t>Jumlah Laporan</t>
  </si>
  <si>
    <t>KPU Provinsi</t>
  </si>
  <si>
    <t>Sekretaris</t>
  </si>
  <si>
    <t>2.</t>
  </si>
  <si>
    <t>Bagian Keuangan, Umum dan Logistik</t>
  </si>
  <si>
    <t>3.</t>
  </si>
  <si>
    <t>Bagian Teknis Penyelenggaraan Pemilu, Partisipasi dan Hubungan Masyarakat, Hukum dan Sdm</t>
  </si>
  <si>
    <t>4.</t>
  </si>
  <si>
    <t>Bagian Perencanaan, Data dan Informasi</t>
  </si>
  <si>
    <t>5.</t>
  </si>
  <si>
    <t>Kelompok Jabatan Fungsional</t>
  </si>
  <si>
    <t>KPU/KIP Kabupaten/Kota</t>
  </si>
  <si>
    <t>Subbagian Keuangan, Umum dan Logistik</t>
  </si>
  <si>
    <t>Subbagian Teknis Penyelenggaraan Pemilu, Partisipasi dan Hubungan Masyarakat</t>
  </si>
  <si>
    <t>Subbagian Perencanaan, Data dan Informasi</t>
  </si>
  <si>
    <t>Subbagian Hukum dan Sumber Daya Manusia</t>
  </si>
  <si>
    <t>Rekapitulasi Pelaporan Gratifikasi Berdasarkan Jenis</t>
  </si>
  <si>
    <t>Uang</t>
  </si>
  <si>
    <t>Barang</t>
  </si>
  <si>
    <t>Makanan</t>
  </si>
  <si>
    <t>Seks</t>
  </si>
  <si>
    <t>Dan lain-lain</t>
  </si>
  <si>
    <t>Rekapitulasi Pelaporan Gratifikasi Berdasarkan Perkiraan Nilai</t>
  </si>
  <si>
    <t>Niliai (Rp)</t>
  </si>
  <si>
    <t>&lt; 1 Juta</t>
  </si>
  <si>
    <t>1 Juta – 10 Juta</t>
  </si>
  <si>
    <t>&gt; 10 Juta</t>
  </si>
  <si>
    <t>Tidak diketahui nilainya</t>
  </si>
  <si>
    <t>Rekapitulasi Penilai Gratifikasi</t>
  </si>
  <si>
    <t>KPK</t>
  </si>
  <si>
    <t>UPG</t>
  </si>
  <si>
    <t>Rekapitulasi Status Penetapan KPK</t>
  </si>
  <si>
    <t>Milik Negara</t>
  </si>
  <si>
    <t>Milik Pelapor</t>
  </si>
  <si>
    <t>Dikelola UPG</t>
  </si>
  <si>
    <t>Belum Ditetapkan</t>
  </si>
  <si>
    <t>Lain – Lain</t>
  </si>
  <si>
    <t>Lampiran I.I</t>
  </si>
  <si>
    <t>KOORDINATOR SATKER KPU PROVINSI/KABUPATEN/KOTA …</t>
  </si>
  <si>
    <t>I. PELAPORAN PENGENDALIAN GRATIFIKASI</t>
  </si>
  <si>
    <t>1. Penerimaan Gratifikasi</t>
  </si>
  <si>
    <t>Tempat
Penerimaan</t>
  </si>
  <si>
    <t>Penerima /Pelapor</t>
  </si>
  <si>
    <t>Hubungan Pemberi</t>
  </si>
  <si>
    <t>Bentuk/Jenis
Gratifikasi</t>
  </si>
  <si>
    <t>Kegiatan
dalam rangka
Penerimaan</t>
  </si>
  <si>
    <t>Penetapan
Pemilikan</t>
  </si>
  <si>
    <t>Waktu
Penerimaan</t>
  </si>
  <si>
    <t>Pekerjaan</t>
  </si>
  <si>
    <t>Penanganan
Pelaporan
Penerimaan</t>
  </si>
  <si>
    <t>Tindak Lanjut
Pemanfaatan</t>
  </si>
  <si>
    <t>2. Penolakan Gratifikasi</t>
  </si>
  <si>
    <t>Tempat
Penolakan</t>
  </si>
  <si>
    <t>Pelapor/Pemberi
Gratifikasi</t>
  </si>
  <si>
    <t>Hubungan
Penerima</t>
  </si>
  <si>
    <t>Bentuk/ Jenis
Gratifikasi</t>
  </si>
  <si>
    <t>Kegiatan dalam
rangka penerimaan
yang ditolak</t>
  </si>
  <si>
    <t>Waktu
Penolakan</t>
  </si>
  <si>
    <t>Nilai (Rp.)</t>
  </si>
  <si>
    <t>3. Pemberian Gratifikasi</t>
  </si>
  <si>
    <t>Tempat
Pemberian</t>
  </si>
  <si>
    <t>Pemberian sah / tidak sah</t>
  </si>
  <si>
    <t>Waktu
Pemberian</t>
  </si>
  <si>
    <t>Golongan Penerima</t>
  </si>
  <si>
    <t>Anggaran
pembiayaan
pemberian</t>
  </si>
  <si>
    <t>Catatan :</t>
  </si>
  <si>
    <t>Pengisian harus sesuai dengan renstra</t>
  </si>
  <si>
    <t>Perencanaan dan Anggaran 
(Rencana Penggunaan dan Penarikan Anggaran setiap Bulan)</t>
  </si>
  <si>
    <t>Laporan Verifikasi Bukti Pertanggungjawaban</t>
  </si>
  <si>
    <t>Menyetujui,</t>
  </si>
  <si>
    <t>Kegiatan</t>
  </si>
  <si>
    <t>Perlengkapan Pemungutan Suara</t>
  </si>
  <si>
    <t>Dukungan Perlengkapan Lainnya</t>
  </si>
  <si>
    <t>Perlengkapan Pemungutan Suara Lainnya</t>
  </si>
  <si>
    <t>Volume</t>
  </si>
  <si>
    <t>a. Kotak Suara</t>
  </si>
  <si>
    <t>b. Surat Suara</t>
  </si>
  <si>
    <t>c. Tinta</t>
  </si>
  <si>
    <t>d. Bilik Pemungutan Suara</t>
  </si>
  <si>
    <t>e. Segel</t>
  </si>
  <si>
    <t>f. Alat untuk mencoblos pilihan (1 set)</t>
  </si>
  <si>
    <t xml:space="preserve">   - Paku</t>
  </si>
  <si>
    <t xml:space="preserve">   - Bantalan atau alat coblos</t>
  </si>
  <si>
    <t>Jenis Pengadaan</t>
  </si>
  <si>
    <t>a. Sampul Kertas</t>
  </si>
  <si>
    <t>b. Tanda pengenal KPPS, Petugas ketertiban TPS dan saksi</t>
  </si>
  <si>
    <t>c. Karet Pengikat Surat Suara</t>
  </si>
  <si>
    <t>d. Lem/Perekat</t>
  </si>
  <si>
    <t>e. Kantong plastik</t>
  </si>
  <si>
    <t>f. bolpoin</t>
  </si>
  <si>
    <t>g. Gembok</t>
  </si>
  <si>
    <t>h. Spidol</t>
  </si>
  <si>
    <t>i. Formulir untuk berita acara dan/atau sertifikat</t>
  </si>
  <si>
    <t>j. Stiker nomor kotak suara</t>
  </si>
  <si>
    <t>k. Tali pengikat alat pemberi tanda pilihan</t>
  </si>
  <si>
    <t>l. Alat bantu tunanetra</t>
  </si>
  <si>
    <t>a. Salinan DPT</t>
  </si>
  <si>
    <t>b. Salinan Daftar Pemilih Tambahan</t>
  </si>
  <si>
    <t>c. Daftar Pasangan Calon</t>
  </si>
  <si>
    <t>d. Daftar calon tetap anggota DPR</t>
  </si>
  <si>
    <t>e. Daftar calon tetap anggota DPD</t>
  </si>
  <si>
    <t>f. Daftar calon tetap anggota DPRD Provinsi</t>
  </si>
  <si>
    <t>g. Daftar calon tetap anggota DPRD kabupaten/kota; dan</t>
  </si>
  <si>
    <t>h. label identitas kotak suara untuk untuk setiap jenis Pemilu</t>
  </si>
  <si>
    <t xml:space="preserve">(Dok.  berupa LPPA) </t>
  </si>
  <si>
    <t xml:space="preserve">(Dok.  berupa Laporan Realisasi Anggaran SAKTI) </t>
  </si>
  <si>
    <t>KPU Kabupaten Minahasa</t>
  </si>
  <si>
    <t>Aprila Ph. Regar</t>
  </si>
  <si>
    <t>NIP. 196911121999032001</t>
  </si>
  <si>
    <t>Ketua KPU Kabupaten Minahasa</t>
  </si>
  <si>
    <t>Rendy V. J. Suawa</t>
  </si>
  <si>
    <t>Stella S. Sompe</t>
  </si>
  <si>
    <r>
      <t>Ada/</t>
    </r>
    <r>
      <rPr>
        <strike/>
        <sz val="12"/>
        <color theme="1"/>
        <rFont val="Bookman Old Style"/>
        <family val="1"/>
      </rPr>
      <t>Tidak</t>
    </r>
  </si>
  <si>
    <t>BAP KAS</t>
  </si>
  <si>
    <t>Realisasi s.d Bulan Januari</t>
  </si>
  <si>
    <t>Sisa s.d Bulan Januari</t>
  </si>
  <si>
    <t>Realisasi s.d Bulan Maret</t>
  </si>
  <si>
    <t>Sisa s.d Bulan Maret</t>
  </si>
  <si>
    <t>Tondano, 31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</si>
</sst>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[$-421]dd\ mmmm\ yyyy"/>
    <numFmt numFmtId="166" formatCode="_-* #,##0_-;\-* #,##0_-;_-* &quot;-&quot;??_-;_-@_-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0"/>
      <name val="Bookman Old Style"/>
      <family val="1"/>
    </font>
    <font>
      <sz val="12"/>
      <name val="Bookman Old Style"/>
      <family val="1"/>
    </font>
    <font>
      <u/>
      <sz val="12"/>
      <color theme="1"/>
      <name val="Bookman Old Style"/>
      <family val="1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trike/>
      <sz val="12"/>
      <color theme="1"/>
      <name val="Bookman Old Style"/>
      <family val="1"/>
    </font>
    <font>
      <sz val="10"/>
      <name val="Arial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rgb="FFD8D8D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26"/>
    <xf numFmtId="0" fontId="20" fillId="0" borderId="26"/>
    <xf numFmtId="0" fontId="26" fillId="0" borderId="26"/>
    <xf numFmtId="0" fontId="27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6" fillId="0" borderId="26"/>
    <xf numFmtId="0" fontId="26" fillId="0" borderId="26"/>
    <xf numFmtId="0" fontId="1" fillId="0" borderId="26"/>
    <xf numFmtId="0" fontId="26" fillId="0" borderId="26"/>
    <xf numFmtId="0" fontId="26" fillId="0" borderId="26"/>
    <xf numFmtId="0" fontId="29" fillId="0" borderId="26"/>
    <xf numFmtId="0" fontId="26" fillId="0" borderId="26"/>
    <xf numFmtId="0" fontId="26" fillId="0" borderId="26"/>
    <xf numFmtId="0" fontId="26" fillId="0" borderId="26"/>
  </cellStyleXfs>
  <cellXfs count="268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1" xfId="0" applyFont="1" applyBorder="1"/>
    <xf numFmtId="0" fontId="7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  <xf numFmtId="0" fontId="5" fillId="0" borderId="9" xfId="0" applyFont="1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vertical="center"/>
    </xf>
    <xf numFmtId="164" fontId="15" fillId="0" borderId="0" xfId="0" applyNumberFormat="1" applyFont="1"/>
    <xf numFmtId="1" fontId="15" fillId="0" borderId="0" xfId="0" applyNumberFormat="1" applyFont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164" fontId="16" fillId="0" borderId="0" xfId="0" applyNumberFormat="1" applyFont="1" applyAlignment="1">
      <alignment horizontal="right"/>
    </xf>
    <xf numFmtId="0" fontId="17" fillId="0" borderId="0" xfId="0" applyFont="1"/>
    <xf numFmtId="0" fontId="15" fillId="0" borderId="0" xfId="0" quotePrefix="1" applyFont="1" applyAlignment="1">
      <alignment horizontal="right" vertical="top" wrapText="1"/>
    </xf>
    <xf numFmtId="3" fontId="15" fillId="0" borderId="0" xfId="0" applyNumberFormat="1" applyFont="1" applyAlignment="1">
      <alignment horizontal="right" vertical="top" wrapText="1"/>
    </xf>
    <xf numFmtId="164" fontId="15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center" vertical="top" wrapText="1"/>
    </xf>
    <xf numFmtId="164" fontId="15" fillId="0" borderId="0" xfId="0" applyNumberFormat="1" applyFont="1" applyAlignment="1">
      <alignment horizontal="left" vertical="top" wrapText="1"/>
    </xf>
    <xf numFmtId="164" fontId="15" fillId="0" borderId="0" xfId="0" applyNumberFormat="1" applyFont="1" applyAlignment="1">
      <alignment vertical="top"/>
    </xf>
    <xf numFmtId="0" fontId="15" fillId="0" borderId="22" xfId="0" applyFont="1" applyBorder="1" applyAlignment="1">
      <alignment vertical="top"/>
    </xf>
    <xf numFmtId="0" fontId="15" fillId="0" borderId="24" xfId="0" applyFont="1" applyBorder="1" applyAlignment="1">
      <alignment horizontal="left" vertical="top" wrapText="1"/>
    </xf>
    <xf numFmtId="164" fontId="15" fillId="0" borderId="24" xfId="0" applyNumberFormat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vertical="center" wrapText="1"/>
    </xf>
    <xf numFmtId="164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top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wrapText="1"/>
    </xf>
    <xf numFmtId="0" fontId="15" fillId="0" borderId="0" xfId="0" applyFont="1" applyAlignment="1">
      <alignment horizontal="center" vertical="top" wrapText="1"/>
    </xf>
    <xf numFmtId="0" fontId="15" fillId="0" borderId="24" xfId="0" applyFont="1" applyBorder="1" applyAlignment="1">
      <alignment vertical="top"/>
    </xf>
    <xf numFmtId="164" fontId="15" fillId="0" borderId="24" xfId="0" applyNumberFormat="1" applyFont="1" applyBorder="1" applyAlignment="1">
      <alignment vertical="top"/>
    </xf>
    <xf numFmtId="0" fontId="15" fillId="0" borderId="0" xfId="0" applyFont="1" applyAlignment="1">
      <alignment horizontal="right" vertical="center" wrapText="1"/>
    </xf>
    <xf numFmtId="164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164" fontId="16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 wrapText="1"/>
    </xf>
    <xf numFmtId="164" fontId="16" fillId="0" borderId="0" xfId="0" applyNumberFormat="1" applyFont="1" applyAlignment="1">
      <alignment horizontal="right" wrapText="1"/>
    </xf>
    <xf numFmtId="164" fontId="16" fillId="0" borderId="0" xfId="0" applyNumberFormat="1" applyFont="1" applyAlignment="1">
      <alignment horizontal="right" vertical="top" wrapText="1"/>
    </xf>
    <xf numFmtId="164" fontId="16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left"/>
    </xf>
    <xf numFmtId="0" fontId="7" fillId="0" borderId="0" xfId="0" applyFont="1" applyAlignment="1">
      <alignment vertical="top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quotePrefix="1" applyFont="1" applyBorder="1" applyAlignment="1">
      <alignment horizontal="left" vertical="top"/>
    </xf>
    <xf numFmtId="0" fontId="5" fillId="0" borderId="1" xfId="0" quotePrefix="1" applyFont="1" applyBorder="1" applyAlignment="1">
      <alignment horizontal="left"/>
    </xf>
    <xf numFmtId="0" fontId="7" fillId="2" borderId="16" xfId="0" quotePrefix="1" applyFont="1" applyFill="1" applyBorder="1" applyAlignment="1">
      <alignment horizontal="center" vertical="top"/>
    </xf>
    <xf numFmtId="0" fontId="7" fillId="0" borderId="0" xfId="0" applyFont="1" applyAlignment="1">
      <alignment vertical="top" wrapText="1"/>
    </xf>
    <xf numFmtId="0" fontId="5" fillId="0" borderId="0" xfId="0" quotePrefix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13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top" wrapText="1"/>
    </xf>
    <xf numFmtId="0" fontId="3" fillId="0" borderId="27" xfId="0" applyFont="1" applyBorder="1"/>
    <xf numFmtId="0" fontId="0" fillId="0" borderId="27" xfId="0" applyBorder="1"/>
    <xf numFmtId="0" fontId="3" fillId="0" borderId="27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 vertical="top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2" fillId="6" borderId="13" xfId="0" applyFont="1" applyFill="1" applyBorder="1"/>
    <xf numFmtId="0" fontId="22" fillId="6" borderId="14" xfId="0" applyFont="1" applyFill="1" applyBorder="1"/>
    <xf numFmtId="0" fontId="22" fillId="6" borderId="1" xfId="0" applyFont="1" applyFill="1" applyBorder="1"/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left" vertical="top" wrapText="1"/>
    </xf>
    <xf numFmtId="0" fontId="22" fillId="0" borderId="0" xfId="0" applyFont="1" applyAlignment="1">
      <alignment vertical="top" wrapText="1"/>
    </xf>
    <xf numFmtId="0" fontId="22" fillId="0" borderId="11" xfId="0" applyFont="1" applyBorder="1" applyAlignment="1">
      <alignment vertical="top" wrapText="1"/>
    </xf>
    <xf numFmtId="0" fontId="22" fillId="0" borderId="9" xfId="0" applyFont="1" applyBorder="1" applyAlignment="1">
      <alignment vertical="top" wrapText="1"/>
    </xf>
    <xf numFmtId="0" fontId="22" fillId="0" borderId="9" xfId="0" applyFont="1" applyBorder="1" applyAlignment="1">
      <alignment horizontal="right"/>
    </xf>
    <xf numFmtId="0" fontId="22" fillId="6" borderId="12" xfId="0" applyFont="1" applyFill="1" applyBorder="1" applyAlignment="1">
      <alignment horizontal="center" vertical="top" wrapText="1"/>
    </xf>
    <xf numFmtId="0" fontId="22" fillId="6" borderId="14" xfId="0" applyFont="1" applyFill="1" applyBorder="1" applyAlignment="1">
      <alignment vertical="top" wrapText="1"/>
    </xf>
    <xf numFmtId="0" fontId="22" fillId="6" borderId="1" xfId="0" applyFont="1" applyFill="1" applyBorder="1" applyAlignment="1">
      <alignment vertical="top" wrapText="1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2" fillId="6" borderId="12" xfId="0" applyFont="1" applyFill="1" applyBorder="1" applyAlignment="1">
      <alignment horizontal="left" vertical="top" wrapText="1"/>
    </xf>
    <xf numFmtId="0" fontId="22" fillId="0" borderId="10" xfId="0" applyFont="1" applyBorder="1" applyAlignment="1">
      <alignment vertical="top" wrapText="1"/>
    </xf>
    <xf numFmtId="0" fontId="22" fillId="0" borderId="9" xfId="0" quotePrefix="1" applyFont="1" applyBorder="1" applyAlignment="1">
      <alignment horizontal="right"/>
    </xf>
    <xf numFmtId="0" fontId="22" fillId="2" borderId="15" xfId="0" applyFont="1" applyFill="1" applyBorder="1" applyAlignment="1">
      <alignment vertical="top" wrapText="1"/>
    </xf>
    <xf numFmtId="0" fontId="22" fillId="0" borderId="0" xfId="0" applyFont="1" applyAlignment="1">
      <alignment horizontal="center" vertical="top" wrapText="1"/>
    </xf>
    <xf numFmtId="0" fontId="22" fillId="2" borderId="16" xfId="0" applyFont="1" applyFill="1" applyBorder="1" applyAlignment="1">
      <alignment vertical="top" wrapText="1"/>
    </xf>
    <xf numFmtId="0" fontId="22" fillId="0" borderId="9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2" fillId="6" borderId="13" xfId="0" applyFont="1" applyFill="1" applyBorder="1" applyAlignment="1">
      <alignment vertical="top" wrapText="1"/>
    </xf>
    <xf numFmtId="0" fontId="22" fillId="2" borderId="17" xfId="0" applyFont="1" applyFill="1" applyBorder="1" applyAlignment="1">
      <alignment vertical="top" wrapText="1"/>
    </xf>
    <xf numFmtId="0" fontId="22" fillId="0" borderId="9" xfId="0" applyFont="1" applyBorder="1" applyAlignment="1">
      <alignment horizontal="left" vertical="center" wrapText="1"/>
    </xf>
    <xf numFmtId="0" fontId="22" fillId="6" borderId="13" xfId="0" applyFont="1" applyFill="1" applyBorder="1" applyAlignment="1">
      <alignment vertical="center" wrapText="1"/>
    </xf>
    <xf numFmtId="0" fontId="22" fillId="6" borderId="14" xfId="0" applyFont="1" applyFill="1" applyBorder="1" applyAlignment="1">
      <alignment vertical="center" wrapText="1"/>
    </xf>
    <xf numFmtId="0" fontId="22" fillId="6" borderId="1" xfId="0" applyFont="1" applyFill="1" applyBorder="1" applyAlignment="1">
      <alignment vertical="center" wrapText="1"/>
    </xf>
    <xf numFmtId="0" fontId="22" fillId="0" borderId="2" xfId="0" applyFont="1" applyBorder="1" applyAlignment="1">
      <alignment horizontal="center"/>
    </xf>
    <xf numFmtId="0" fontId="22" fillId="0" borderId="18" xfId="0" applyFont="1" applyBorder="1" applyAlignment="1">
      <alignment vertical="center" wrapText="1"/>
    </xf>
    <xf numFmtId="0" fontId="22" fillId="0" borderId="19" xfId="0" applyFont="1" applyBorder="1" applyAlignment="1">
      <alignment vertical="top" wrapText="1"/>
    </xf>
    <xf numFmtId="0" fontId="22" fillId="0" borderId="20" xfId="0" applyFont="1" applyBorder="1" applyAlignment="1">
      <alignment vertical="center" wrapText="1"/>
    </xf>
    <xf numFmtId="0" fontId="22" fillId="0" borderId="6" xfId="0" applyFont="1" applyBorder="1" applyAlignment="1">
      <alignment horizontal="center"/>
    </xf>
    <xf numFmtId="0" fontId="22" fillId="0" borderId="21" xfId="0" applyFont="1" applyBorder="1" applyAlignment="1">
      <alignment vertical="center" wrapText="1"/>
    </xf>
    <xf numFmtId="0" fontId="22" fillId="0" borderId="22" xfId="0" applyFont="1" applyBorder="1" applyAlignment="1">
      <alignment vertical="top" wrapText="1"/>
    </xf>
    <xf numFmtId="0" fontId="22" fillId="0" borderId="23" xfId="0" applyFont="1" applyBorder="1" applyAlignment="1">
      <alignment vertical="center" wrapText="1"/>
    </xf>
    <xf numFmtId="0" fontId="22" fillId="3" borderId="13" xfId="0" applyFont="1" applyFill="1" applyBorder="1" applyAlignment="1">
      <alignment vertical="center" wrapText="1"/>
    </xf>
    <xf numFmtId="0" fontId="22" fillId="3" borderId="14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vertical="center" wrapText="1"/>
    </xf>
    <xf numFmtId="0" fontId="22" fillId="0" borderId="3" xfId="0" applyFont="1" applyBorder="1" applyAlignment="1">
      <alignment vertical="top" wrapText="1"/>
    </xf>
    <xf numFmtId="0" fontId="22" fillId="0" borderId="23" xfId="0" applyFont="1" applyBorder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2" fillId="0" borderId="26" xfId="0" applyFont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/>
    </xf>
    <xf numFmtId="0" fontId="22" fillId="6" borderId="12" xfId="0" applyFont="1" applyFill="1" applyBorder="1"/>
    <xf numFmtId="0" fontId="22" fillId="3" borderId="1" xfId="0" applyFont="1" applyFill="1" applyBorder="1" applyAlignment="1">
      <alignment horizontal="center"/>
    </xf>
    <xf numFmtId="0" fontId="22" fillId="3" borderId="12" xfId="0" applyFont="1" applyFill="1" applyBorder="1" applyAlignment="1">
      <alignment vertical="center" wrapText="1"/>
    </xf>
    <xf numFmtId="0" fontId="27" fillId="0" borderId="2" xfId="4" applyBorder="1" applyAlignment="1">
      <alignment vertical="top" wrapText="1"/>
    </xf>
    <xf numFmtId="0" fontId="27" fillId="0" borderId="6" xfId="4" applyBorder="1" applyAlignment="1">
      <alignment vertical="top" wrapText="1"/>
    </xf>
    <xf numFmtId="0" fontId="27" fillId="0" borderId="9" xfId="4" applyBorder="1" applyAlignment="1">
      <alignment vertical="top" wrapText="1"/>
    </xf>
    <xf numFmtId="0" fontId="22" fillId="0" borderId="9" xfId="0" applyFont="1" applyBorder="1" applyAlignment="1">
      <alignment horizontal="center" vertical="top"/>
    </xf>
    <xf numFmtId="166" fontId="22" fillId="0" borderId="0" xfId="5" applyNumberFormat="1" applyFont="1" applyAlignment="1">
      <alignment vertical="top" wrapText="1"/>
    </xf>
    <xf numFmtId="166" fontId="22" fillId="0" borderId="0" xfId="0" applyNumberFormat="1" applyFont="1" applyAlignment="1">
      <alignment vertical="top" wrapText="1"/>
    </xf>
    <xf numFmtId="0" fontId="27" fillId="0" borderId="0" xfId="4" applyAlignment="1">
      <alignment horizontal="right" vertical="top" wrapText="1"/>
    </xf>
    <xf numFmtId="166" fontId="30" fillId="0" borderId="1" xfId="5" applyNumberFormat="1" applyFont="1" applyBorder="1" applyAlignment="1">
      <alignment vertical="top" wrapText="1"/>
    </xf>
    <xf numFmtId="166" fontId="30" fillId="6" borderId="1" xfId="0" applyNumberFormat="1" applyFont="1" applyFill="1" applyBorder="1" applyAlignment="1">
      <alignment vertical="top" wrapText="1"/>
    </xf>
    <xf numFmtId="166" fontId="30" fillId="0" borderId="0" xfId="5" applyNumberFormat="1" applyFont="1" applyAlignment="1">
      <alignment vertical="top" wrapText="1"/>
    </xf>
    <xf numFmtId="166" fontId="30" fillId="0" borderId="0" xfId="0" applyNumberFormat="1" applyFont="1" applyAlignment="1">
      <alignment vertical="top" wrapText="1"/>
    </xf>
    <xf numFmtId="166" fontId="22" fillId="0" borderId="1" xfId="5" applyNumberFormat="1" applyFont="1" applyBorder="1" applyAlignment="1">
      <alignment vertical="top" wrapText="1"/>
    </xf>
    <xf numFmtId="166" fontId="22" fillId="6" borderId="1" xfId="0" applyNumberFormat="1" applyFont="1" applyFill="1" applyBorder="1" applyAlignment="1">
      <alignment vertical="top" wrapText="1"/>
    </xf>
    <xf numFmtId="166" fontId="22" fillId="0" borderId="0" xfId="5" applyNumberFormat="1" applyFont="1" applyFill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8" fillId="0" borderId="9" xfId="0" applyFont="1" applyBorder="1"/>
    <xf numFmtId="0" fontId="8" fillId="0" borderId="6" xfId="0" applyFont="1" applyBorder="1"/>
    <xf numFmtId="0" fontId="7" fillId="0" borderId="2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3" fillId="5" borderId="4" xfId="0" applyFont="1" applyFill="1" applyBorder="1"/>
    <xf numFmtId="0" fontId="23" fillId="5" borderId="5" xfId="0" applyFont="1" applyFill="1" applyBorder="1"/>
    <xf numFmtId="0" fontId="22" fillId="0" borderId="2" xfId="0" applyFont="1" applyBorder="1" applyAlignment="1">
      <alignment horizontal="center" vertical="center" wrapText="1"/>
    </xf>
    <xf numFmtId="0" fontId="24" fillId="0" borderId="9" xfId="0" applyFont="1" applyBorder="1"/>
    <xf numFmtId="0" fontId="22" fillId="0" borderId="0" xfId="0" applyFont="1" applyAlignment="1">
      <alignment horizontal="center" vertical="top" wrapText="1"/>
    </xf>
    <xf numFmtId="0" fontId="22" fillId="0" borderId="2" xfId="0" applyFont="1" applyBorder="1" applyAlignment="1">
      <alignment horizontal="left" vertical="center" wrapText="1"/>
    </xf>
    <xf numFmtId="0" fontId="22" fillId="0" borderId="0" xfId="0" applyFont="1" applyAlignment="1">
      <alignment vertical="top" wrapText="1"/>
    </xf>
    <xf numFmtId="0" fontId="22" fillId="2" borderId="7" xfId="0" applyFont="1" applyFill="1" applyBorder="1" applyAlignment="1">
      <alignment horizontal="center" vertical="top" wrapText="1"/>
    </xf>
    <xf numFmtId="0" fontId="24" fillId="0" borderId="8" xfId="0" applyFont="1" applyBorder="1"/>
    <xf numFmtId="0" fontId="22" fillId="0" borderId="0" xfId="0" applyFont="1" applyAlignment="1">
      <alignment horizontal="center"/>
    </xf>
    <xf numFmtId="0" fontId="22" fillId="0" borderId="19" xfId="0" applyFont="1" applyBorder="1" applyAlignment="1">
      <alignment horizontal="center" vertical="top" wrapText="1"/>
    </xf>
    <xf numFmtId="0" fontId="24" fillId="0" borderId="19" xfId="0" applyFont="1" applyBorder="1"/>
    <xf numFmtId="0" fontId="22" fillId="0" borderId="22" xfId="0" applyFont="1" applyBorder="1" applyAlignment="1">
      <alignment horizontal="center" vertical="top" wrapText="1"/>
    </xf>
    <xf numFmtId="0" fontId="24" fillId="0" borderId="22" xfId="0" applyFont="1" applyBorder="1"/>
    <xf numFmtId="0" fontId="22" fillId="0" borderId="0" xfId="0" applyFont="1" applyAlignment="1">
      <alignment horizontal="left" vertical="center"/>
    </xf>
    <xf numFmtId="0" fontId="24" fillId="0" borderId="6" xfId="0" applyFont="1" applyBorder="1"/>
    <xf numFmtId="0" fontId="22" fillId="2" borderId="2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0" fillId="0" borderId="0" xfId="0"/>
    <xf numFmtId="0" fontId="15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top"/>
    </xf>
    <xf numFmtId="165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164" fontId="15" fillId="0" borderId="0" xfId="0" applyNumberFormat="1" applyFont="1" applyAlignment="1">
      <alignment horizontal="right" vertical="top"/>
    </xf>
    <xf numFmtId="164" fontId="15" fillId="0" borderId="22" xfId="0" applyNumberFormat="1" applyFont="1" applyBorder="1" applyAlignment="1">
      <alignment horizontal="right" vertical="top"/>
    </xf>
    <xf numFmtId="0" fontId="8" fillId="0" borderId="22" xfId="0" applyFont="1" applyBorder="1"/>
    <xf numFmtId="0" fontId="16" fillId="0" borderId="0" xfId="0" applyFont="1" applyAlignment="1">
      <alignment horizontal="left" vertical="top"/>
    </xf>
    <xf numFmtId="164" fontId="16" fillId="0" borderId="0" xfId="0" applyNumberFormat="1" applyFont="1" applyAlignment="1">
      <alignment horizontal="left" vertical="top"/>
    </xf>
    <xf numFmtId="164" fontId="16" fillId="0" borderId="0" xfId="0" applyNumberFormat="1" applyFont="1" applyAlignment="1">
      <alignment horizontal="right" vertical="top"/>
    </xf>
    <xf numFmtId="164" fontId="16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/>
    </xf>
    <xf numFmtId="0" fontId="16" fillId="0" borderId="0" xfId="0" applyFont="1" applyAlignment="1">
      <alignment horizontal="left" wrapText="1"/>
    </xf>
    <xf numFmtId="164" fontId="15" fillId="0" borderId="0" xfId="0" applyNumberFormat="1" applyFont="1" applyAlignment="1">
      <alignment horizontal="center" vertical="top"/>
    </xf>
    <xf numFmtId="1" fontId="15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 vertical="top"/>
    </xf>
    <xf numFmtId="0" fontId="8" fillId="0" borderId="5" xfId="0" applyFont="1" applyBorder="1"/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3" xfId="0" applyFont="1" applyBorder="1"/>
    <xf numFmtId="0" fontId="5" fillId="0" borderId="3" xfId="0" applyFont="1" applyBorder="1" applyAlignment="1">
      <alignment horizontal="left" vertical="top" wrapText="1"/>
    </xf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</cellXfs>
  <cellStyles count="15">
    <cellStyle name="Comma" xfId="5" builtinId="3"/>
    <cellStyle name="Hyperlink" xfId="4" builtinId="8"/>
    <cellStyle name="Normal" xfId="0" builtinId="0"/>
    <cellStyle name="Normal 11 2" xfId="3" xr:uid="{00000000-0005-0000-0000-000003000000}"/>
    <cellStyle name="Normal 2" xfId="2" xr:uid="{00000000-0005-0000-0000-000004000000}"/>
    <cellStyle name="Normal 2 2 2" xfId="11" xr:uid="{00000000-0005-0000-0000-000005000000}"/>
    <cellStyle name="Normal 2 2 2 2 2" xfId="8" xr:uid="{00000000-0005-0000-0000-000006000000}"/>
    <cellStyle name="Normal 3 2 2 2 2" xfId="6" xr:uid="{00000000-0005-0000-0000-000007000000}"/>
    <cellStyle name="Normal 3 2 3 3" xfId="10" xr:uid="{00000000-0005-0000-0000-000008000000}"/>
    <cellStyle name="Normal 3 2 3 3 2 2 2 2 2 2 2" xfId="12" xr:uid="{00000000-0005-0000-0000-000009000000}"/>
    <cellStyle name="Normal 3 4 2 2 2" xfId="7" xr:uid="{00000000-0005-0000-0000-00000A000000}"/>
    <cellStyle name="Normal 3 4 3 2" xfId="14" xr:uid="{00000000-0005-0000-0000-00000B000000}"/>
    <cellStyle name="Normal 3 4 4 2" xfId="9" xr:uid="{00000000-0005-0000-0000-00000C000000}"/>
    <cellStyle name="Normal 3 4 4 2 2 2 2 2 2 2" xfId="13" xr:uid="{00000000-0005-0000-0000-00000D000000}"/>
    <cellStyle name="Normal 9" xfId="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3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793750</xdr:colOff>
      <xdr:row>61</xdr:row>
      <xdr:rowOff>174625</xdr:rowOff>
    </xdr:from>
    <xdr:to>
      <xdr:col>1</xdr:col>
      <xdr:colOff>1946131</xdr:colOff>
      <xdr:row>67</xdr:row>
      <xdr:rowOff>85018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0" y="12382500"/>
          <a:ext cx="1152381" cy="989893"/>
        </a:xfrm>
        <a:prstGeom prst="rect">
          <a:avLst/>
        </a:prstGeom>
      </xdr:spPr>
    </xdr:pic>
    <xdr:clientData/>
  </xdr:twoCellAnchor>
  <xdr:twoCellAnchor editAs="oneCell">
    <xdr:from>
      <xdr:col>6</xdr:col>
      <xdr:colOff>1381126</xdr:colOff>
      <xdr:row>62</xdr:row>
      <xdr:rowOff>11906</xdr:rowOff>
    </xdr:from>
    <xdr:to>
      <xdr:col>7</xdr:col>
      <xdr:colOff>126949</xdr:colOff>
      <xdr:row>66</xdr:row>
      <xdr:rowOff>135731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2532" y="12203906"/>
          <a:ext cx="1877167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1559721</xdr:colOff>
      <xdr:row>69</xdr:row>
      <xdr:rowOff>136493</xdr:rowOff>
    </xdr:from>
    <xdr:to>
      <xdr:col>4</xdr:col>
      <xdr:colOff>1238251</xdr:colOff>
      <xdr:row>74</xdr:row>
      <xdr:rowOff>166689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66" t="27687" r="15359" b="31596"/>
        <a:stretch/>
      </xdr:blipFill>
      <xdr:spPr>
        <a:xfrm>
          <a:off x="4572002" y="13578649"/>
          <a:ext cx="1273968" cy="923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SPIP_2024_JANUARI_KPU%20KAB.MINAHASA\V3.%20LAMPIRAN%20II.17%20-%20JANUARI\V3.%20LAMPIRAN%20II.17%20-%20%20JANUARI\DOK_LAMPIRAN%20II.17\B.KEUANGAN%20(XIX.B)\7.BAP&amp;Register%20Penutupan%20Kas%20APBN.pdf" TargetMode="External"/><Relationship Id="rId3" Type="http://schemas.openxmlformats.org/officeDocument/2006/relationships/hyperlink" Target="../SPIP_2024_JANUARI_KPU%20KAB.MINAHASA/V3.%20LAMPIRAN%20II.17%20-%20JANUARI/V3.%20LAMPIRAN%20II.17%20-%20%20JANUARI/DOK_LAMPIRAN%20II.17/B.KEUANGAN%20(XIX.B)/B.2%20(Rekap%20Pokja)/B.2%20(Rekap%20Pokja).pdf" TargetMode="External"/><Relationship Id="rId7" Type="http://schemas.openxmlformats.org/officeDocument/2006/relationships/hyperlink" Target="..\SPIP_2024_JANUARI_KPU%20KAB.MINAHASA\V3.%20LAMPIRAN%20II.17%20-%20JANUARI\V3.%20LAMPIRAN%20II.17%20-%20%20JANUARI\DOK_LAMPIRAN%20II.17\B.KEUANGAN%20(XIX.B)\3.BKU%20dan%20Buku%20Pembantu%20(APBN).pdf" TargetMode="External"/><Relationship Id="rId2" Type="http://schemas.openxmlformats.org/officeDocument/2006/relationships/hyperlink" Target="../SPIP_2024_JANUARI_KPU%20KAB.MINAHASA/V3.%20LAMPIRAN%20II.17%20-%20JANUARI/V3.%20LAMPIRAN%20II.17%20-%20%20JANUARI/DOK_LAMPIRAN%20II.17/B.KEUANGAN%20(XIX.B)/15.CALBMN%20SEMESTER%20I%202023_compressed.pdf" TargetMode="External"/><Relationship Id="rId1" Type="http://schemas.openxmlformats.org/officeDocument/2006/relationships/hyperlink" Target="../SPIP_2024_JANUARI_KPU%20KAB.MINAHASA/V3.%20LAMPIRAN%20II.17%20-%20JANUARI/V3.%20LAMPIRAN%20II.17%20-%20%20JANUARI/DOK_LAMPIRAN%20II.17/B.KEUANGAN%20(XIX.B)/14.CALK%20KEUANGAN%20SEMESTER%20I%202023_compressed.pdf" TargetMode="External"/><Relationship Id="rId6" Type="http://schemas.openxmlformats.org/officeDocument/2006/relationships/hyperlink" Target="../SPIP_2024_JANUARI_KPU%20KAB.MINAHASA/V3.%20LAMPIRAN%20II.17%20-%20JANUARI/V3.%20LAMPIRAN%20II.17%20-%20%20JANUARI/DOK_LAMPIRAN%20II.17/B.KEUANGAN%20(XIX.B)/B.1%20(Laporan%20Verifikasi%20SPJ)/B.1%20(Laporan%20Verifikasi%20SPJ).pdf" TargetMode="External"/><Relationship Id="rId5" Type="http://schemas.openxmlformats.org/officeDocument/2006/relationships/hyperlink" Target="../SPIP_2024_JANUARI_KPU%20KAB.MINAHASA/V3.%20LAMPIRAN%20II.17%20-%20JANUARI/V3.%20LAMPIRAN%20II.17%20-%20%20JANUARI/DOK_LAMPIRAN%20II.17/B.KEUANGAN%20(XIX.B)/2.Laporan%20Realisasi%20Anggaran%20(SAKTI).pdf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../SPIP_2024_JANUARI_KPU%20KAB.MINAHASA/V3.%20LAMPIRAN%20II.17%20-%20JANUARI/V3.%20LAMPIRAN%20II.17%20-%20%20JANUARI/DOK_LAMPIRAN%20II.17/B.KEUANGAN%20(XIX.B)/B.3%20(Rekap%20Perjadin)/B.3%20(Rekap%20Perjadin)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4" sqref="D14"/>
    </sheetView>
  </sheetViews>
  <sheetFormatPr defaultColWidth="14.44140625" defaultRowHeight="15" customHeight="1" x14ac:dyDescent="0.3"/>
  <cols>
    <col min="1" max="1" width="3.6640625" customWidth="1"/>
    <col min="2" max="2" width="27.109375" customWidth="1"/>
    <col min="3" max="3" width="21.5546875" customWidth="1"/>
    <col min="4" max="4" width="11.109375" customWidth="1"/>
    <col min="5" max="5" width="10.5546875" customWidth="1"/>
    <col min="6" max="6" width="10.109375" customWidth="1"/>
    <col min="7" max="7" width="18.6640625" customWidth="1"/>
    <col min="8" max="26" width="8.6640625" customWidth="1"/>
  </cols>
  <sheetData>
    <row r="1" spans="1:26" ht="14.25" customHeight="1" x14ac:dyDescent="0.3">
      <c r="A1" s="19" t="s">
        <v>1</v>
      </c>
      <c r="B1" s="19"/>
      <c r="C1" s="19"/>
      <c r="D1" s="19"/>
      <c r="E1" s="19"/>
      <c r="F1" s="19"/>
    </row>
    <row r="2" spans="1:26" ht="14.25" customHeight="1" x14ac:dyDescent="0.3">
      <c r="A2" s="19" t="s">
        <v>2</v>
      </c>
      <c r="B2" s="19"/>
      <c r="C2" s="19"/>
      <c r="D2" s="19"/>
      <c r="E2" s="19"/>
      <c r="F2" s="19"/>
      <c r="G2" s="3"/>
    </row>
    <row r="3" spans="1:26" ht="14.25" customHeight="1" x14ac:dyDescent="0.3">
      <c r="A3" s="2"/>
      <c r="B3" s="2"/>
      <c r="C3" s="2"/>
      <c r="D3" s="2"/>
      <c r="E3" s="2"/>
      <c r="F3" s="2"/>
    </row>
    <row r="4" spans="1:26" ht="29.4" customHeight="1" x14ac:dyDescent="0.3">
      <c r="A4" s="20" t="s">
        <v>16</v>
      </c>
      <c r="B4" s="195" t="s">
        <v>359</v>
      </c>
      <c r="C4" s="196"/>
      <c r="D4" s="196"/>
      <c r="E4" s="18"/>
      <c r="F4" s="21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39.9" customHeight="1" x14ac:dyDescent="0.3">
      <c r="A5" s="22"/>
      <c r="B5" s="23" t="s">
        <v>17</v>
      </c>
      <c r="C5" s="23" t="s">
        <v>18</v>
      </c>
      <c r="D5" s="23" t="s">
        <v>19</v>
      </c>
      <c r="E5" s="23" t="s">
        <v>20</v>
      </c>
      <c r="F5" s="23" t="s">
        <v>21</v>
      </c>
      <c r="G5" s="192" t="s">
        <v>22</v>
      </c>
    </row>
    <row r="6" spans="1:26" ht="14.25" customHeight="1" x14ac:dyDescent="0.3">
      <c r="A6" s="22"/>
      <c r="B6" s="24" t="s">
        <v>23</v>
      </c>
      <c r="C6" s="24" t="s">
        <v>23</v>
      </c>
      <c r="D6" s="25" t="s">
        <v>24</v>
      </c>
      <c r="E6" s="25" t="s">
        <v>24</v>
      </c>
      <c r="F6" s="25" t="s">
        <v>24</v>
      </c>
      <c r="G6" s="193"/>
    </row>
    <row r="7" spans="1:26" ht="14.25" customHeight="1" x14ac:dyDescent="0.3">
      <c r="A7" s="22"/>
      <c r="B7" s="24" t="s">
        <v>25</v>
      </c>
      <c r="C7" s="24" t="s">
        <v>25</v>
      </c>
      <c r="D7" s="25" t="s">
        <v>24</v>
      </c>
      <c r="E7" s="25" t="s">
        <v>24</v>
      </c>
      <c r="F7" s="25" t="s">
        <v>24</v>
      </c>
      <c r="G7" s="193"/>
    </row>
    <row r="8" spans="1:26" ht="14.25" customHeight="1" x14ac:dyDescent="0.3">
      <c r="A8" s="22"/>
      <c r="B8" s="24" t="s">
        <v>23</v>
      </c>
      <c r="C8" s="24" t="s">
        <v>23</v>
      </c>
      <c r="D8" s="25" t="s">
        <v>24</v>
      </c>
      <c r="E8" s="25" t="s">
        <v>24</v>
      </c>
      <c r="F8" s="25" t="s">
        <v>24</v>
      </c>
      <c r="G8" s="193"/>
    </row>
    <row r="9" spans="1:26" ht="14.25" customHeight="1" x14ac:dyDescent="0.3">
      <c r="A9" s="22"/>
      <c r="B9" s="24" t="s">
        <v>25</v>
      </c>
      <c r="C9" s="24" t="s">
        <v>25</v>
      </c>
      <c r="D9" s="25" t="s">
        <v>24</v>
      </c>
      <c r="E9" s="25" t="s">
        <v>24</v>
      </c>
      <c r="F9" s="25" t="s">
        <v>24</v>
      </c>
      <c r="G9" s="193"/>
    </row>
    <row r="10" spans="1:26" ht="14.25" customHeight="1" x14ac:dyDescent="0.3">
      <c r="A10" s="22"/>
      <c r="B10" s="26" t="s">
        <v>26</v>
      </c>
      <c r="C10" s="27"/>
      <c r="D10" s="27" t="s">
        <v>24</v>
      </c>
      <c r="E10" s="27" t="s">
        <v>24</v>
      </c>
      <c r="F10" s="27" t="s">
        <v>24</v>
      </c>
      <c r="G10" s="194"/>
    </row>
    <row r="11" spans="1:26" ht="14.25" customHeight="1" x14ac:dyDescent="0.3"/>
    <row r="12" spans="1:26" ht="14.25" customHeight="1" x14ac:dyDescent="0.3">
      <c r="B12" s="110" t="s">
        <v>357</v>
      </c>
    </row>
    <row r="13" spans="1:26" ht="14.25" customHeight="1" x14ac:dyDescent="0.3">
      <c r="B13" t="s">
        <v>358</v>
      </c>
    </row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G5:G10"/>
    <mergeCell ref="B4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B1001"/>
  <sheetViews>
    <sheetView tabSelected="1" view="pageBreakPreview" zoomScale="80" zoomScaleNormal="80" zoomScaleSheetLayoutView="80" workbookViewId="0">
      <selection activeCell="G60" sqref="G60"/>
    </sheetView>
  </sheetViews>
  <sheetFormatPr defaultColWidth="14.44140625" defaultRowHeight="15" customHeight="1" x14ac:dyDescent="0.3"/>
  <cols>
    <col min="1" max="1" width="4.33203125" style="115" customWidth="1"/>
    <col min="2" max="2" width="38.88671875" style="115" customWidth="1"/>
    <col min="3" max="3" width="2" style="115" customWidth="1"/>
    <col min="4" max="4" width="24" style="115" customWidth="1"/>
    <col min="5" max="5" width="21.5546875" style="115" customWidth="1"/>
    <col min="6" max="6" width="20.88671875" style="115" customWidth="1"/>
    <col min="7" max="7" width="47" style="115" customWidth="1"/>
    <col min="8" max="8" width="18.88671875" style="115" customWidth="1"/>
    <col min="9" max="9" width="8.88671875" style="115" customWidth="1"/>
    <col min="10" max="10" width="10.109375" style="115" customWidth="1"/>
    <col min="11" max="11" width="8.33203125" style="115" customWidth="1"/>
    <col min="12" max="12" width="4.6640625" style="115" customWidth="1"/>
    <col min="13" max="13" width="8.6640625" style="115" customWidth="1"/>
    <col min="14" max="15" width="4.6640625" style="115" customWidth="1"/>
    <col min="16" max="16" width="8.6640625" style="115" customWidth="1"/>
    <col min="17" max="18" width="4.6640625" style="115" customWidth="1"/>
    <col min="19" max="19" width="8.6640625" style="115" customWidth="1"/>
    <col min="20" max="21" width="4.6640625" style="115" customWidth="1"/>
    <col min="22" max="22" width="8.6640625" style="115" customWidth="1"/>
    <col min="23" max="24" width="4.6640625" style="115" customWidth="1"/>
    <col min="25" max="25" width="8.6640625" style="115" customWidth="1"/>
    <col min="26" max="27" width="4.6640625" style="115" customWidth="1"/>
    <col min="28" max="28" width="8.6640625" style="115" customWidth="1"/>
    <col min="29" max="16384" width="14.44140625" style="115"/>
  </cols>
  <sheetData>
    <row r="1" spans="1:28" ht="14.25" customHeight="1" x14ac:dyDescent="0.3">
      <c r="A1" s="117"/>
      <c r="H1" s="171"/>
      <c r="M1" s="123"/>
      <c r="S1" s="123"/>
    </row>
    <row r="2" spans="1:28" ht="18" customHeight="1" x14ac:dyDescent="0.3">
      <c r="A2" s="199" t="s">
        <v>0</v>
      </c>
      <c r="B2" s="198"/>
      <c r="C2" s="198"/>
      <c r="D2" s="198"/>
      <c r="E2" s="198"/>
      <c r="F2" s="198"/>
      <c r="G2" s="198"/>
      <c r="H2" s="198"/>
      <c r="I2" s="198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ht="14.25" customHeight="1" x14ac:dyDescent="0.3">
      <c r="A3" s="199" t="e">
        <f>#REF!</f>
        <v>#REF!</v>
      </c>
      <c r="B3" s="198"/>
      <c r="C3" s="198"/>
      <c r="D3" s="198"/>
      <c r="E3" s="198"/>
      <c r="F3" s="198"/>
      <c r="G3" s="198"/>
      <c r="H3" s="198"/>
      <c r="I3" s="198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13.5" customHeight="1" x14ac:dyDescent="0.3">
      <c r="A4" s="199" t="e">
        <f>#REF!</f>
        <v>#REF!</v>
      </c>
      <c r="B4" s="198"/>
      <c r="C4" s="198"/>
      <c r="D4" s="198"/>
      <c r="E4" s="198"/>
      <c r="F4" s="198"/>
      <c r="G4" s="198"/>
      <c r="H4" s="198"/>
      <c r="I4" s="198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</row>
    <row r="5" spans="1:28" ht="14.25" customHeight="1" x14ac:dyDescent="0.3">
      <c r="A5" s="120"/>
      <c r="B5" s="120"/>
      <c r="C5" s="120"/>
      <c r="D5" s="120"/>
      <c r="E5" s="120"/>
      <c r="F5" s="120"/>
      <c r="G5" s="120"/>
      <c r="H5" s="120"/>
      <c r="I5" s="120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 spans="1:28" ht="14.25" customHeight="1" x14ac:dyDescent="0.3">
      <c r="A6" s="121" t="s">
        <v>27</v>
      </c>
      <c r="B6" s="121"/>
      <c r="C6" s="121"/>
      <c r="D6" s="121"/>
      <c r="E6" s="121"/>
      <c r="F6" s="121"/>
      <c r="G6" s="121"/>
      <c r="H6" s="121"/>
      <c r="I6" s="121"/>
      <c r="J6" s="116"/>
      <c r="K6" s="116"/>
      <c r="L6" s="116"/>
      <c r="M6" s="116"/>
      <c r="N6" s="116"/>
      <c r="O6" s="116"/>
      <c r="P6" s="116"/>
      <c r="S6" s="123"/>
    </row>
    <row r="7" spans="1:28" ht="14.25" customHeight="1" x14ac:dyDescent="0.3">
      <c r="A7" s="172" t="s">
        <v>3</v>
      </c>
      <c r="B7" s="200" t="s">
        <v>4</v>
      </c>
      <c r="C7" s="201"/>
      <c r="D7" s="201"/>
      <c r="E7" s="201"/>
      <c r="F7" s="202"/>
      <c r="G7" s="172" t="s">
        <v>15</v>
      </c>
      <c r="H7" s="173" t="s">
        <v>28</v>
      </c>
      <c r="I7" s="120"/>
      <c r="J7" s="114"/>
      <c r="K7" s="114"/>
      <c r="L7" s="114"/>
      <c r="M7" s="114"/>
      <c r="N7" s="114"/>
      <c r="O7" s="114"/>
      <c r="P7" s="114"/>
      <c r="Q7" s="120"/>
      <c r="R7" s="120"/>
      <c r="S7" s="124"/>
      <c r="T7" s="120"/>
      <c r="U7" s="120"/>
      <c r="V7" s="120"/>
      <c r="W7" s="120"/>
      <c r="X7" s="120"/>
      <c r="Y7" s="120"/>
      <c r="Z7" s="120"/>
      <c r="AA7" s="120"/>
      <c r="AB7" s="120"/>
    </row>
    <row r="8" spans="1:28" ht="14.25" customHeight="1" x14ac:dyDescent="0.3">
      <c r="A8" s="174" t="s">
        <v>29</v>
      </c>
      <c r="B8" s="175" t="s">
        <v>30</v>
      </c>
      <c r="C8" s="125"/>
      <c r="D8" s="125"/>
      <c r="E8" s="125"/>
      <c r="F8" s="126"/>
      <c r="G8" s="127"/>
      <c r="H8" s="203" t="s">
        <v>31</v>
      </c>
      <c r="M8" s="123"/>
      <c r="S8" s="123"/>
    </row>
    <row r="9" spans="1:28" ht="15.75" customHeight="1" x14ac:dyDescent="0.3">
      <c r="A9" s="128">
        <v>1</v>
      </c>
      <c r="B9" s="129" t="s">
        <v>32</v>
      </c>
      <c r="C9" s="130" t="s">
        <v>33</v>
      </c>
      <c r="D9" s="130"/>
      <c r="E9" s="130"/>
      <c r="F9" s="131"/>
      <c r="G9" s="180" t="s">
        <v>397</v>
      </c>
      <c r="H9" s="204"/>
      <c r="M9" s="123"/>
      <c r="S9" s="123"/>
    </row>
    <row r="10" spans="1:28" ht="34.5" customHeight="1" x14ac:dyDescent="0.3">
      <c r="A10" s="133"/>
      <c r="B10" s="134" t="s">
        <v>34</v>
      </c>
      <c r="C10" s="135"/>
      <c r="D10" s="136" t="s">
        <v>19</v>
      </c>
      <c r="E10" s="136" t="s">
        <v>408</v>
      </c>
      <c r="F10" s="136" t="s">
        <v>409</v>
      </c>
      <c r="G10" s="132"/>
      <c r="H10" s="204"/>
      <c r="M10" s="123"/>
      <c r="S10" s="123"/>
    </row>
    <row r="11" spans="1:28" ht="15.75" customHeight="1" x14ac:dyDescent="0.3">
      <c r="A11" s="133"/>
      <c r="B11" s="137" t="s">
        <v>35</v>
      </c>
      <c r="C11" s="138"/>
      <c r="D11" s="185">
        <f>3847636000</f>
        <v>3847636000</v>
      </c>
      <c r="E11" s="185">
        <v>1037388858</v>
      </c>
      <c r="F11" s="185">
        <f>D11-E11</f>
        <v>2810247142</v>
      </c>
      <c r="G11" s="132"/>
      <c r="H11" s="204"/>
      <c r="M11" s="123"/>
      <c r="S11" s="123"/>
    </row>
    <row r="12" spans="1:28" ht="15.75" customHeight="1" x14ac:dyDescent="0.3">
      <c r="A12" s="133"/>
      <c r="B12" s="137" t="s">
        <v>36</v>
      </c>
      <c r="C12" s="138"/>
      <c r="D12" s="185">
        <f>720889000</f>
        <v>720889000</v>
      </c>
      <c r="E12" s="185">
        <v>95938600</v>
      </c>
      <c r="F12" s="185">
        <f>D12-E12</f>
        <v>624950400</v>
      </c>
      <c r="G12" s="132"/>
      <c r="H12" s="204"/>
      <c r="M12" s="123"/>
      <c r="S12" s="123"/>
    </row>
    <row r="13" spans="1:28" ht="15.75" customHeight="1" x14ac:dyDescent="0.3">
      <c r="A13" s="133"/>
      <c r="B13" s="137" t="s">
        <v>37</v>
      </c>
      <c r="C13" s="138"/>
      <c r="D13" s="185">
        <v>0</v>
      </c>
      <c r="E13" s="185">
        <v>0</v>
      </c>
      <c r="F13" s="185">
        <f>D13-E13</f>
        <v>0</v>
      </c>
      <c r="G13" s="132"/>
      <c r="H13" s="204"/>
      <c r="M13" s="123"/>
      <c r="S13" s="123"/>
    </row>
    <row r="14" spans="1:28" ht="15.75" customHeight="1" x14ac:dyDescent="0.3">
      <c r="A14" s="133"/>
      <c r="B14" s="140" t="s">
        <v>26</v>
      </c>
      <c r="C14" s="135"/>
      <c r="D14" s="186">
        <f>SUM(D11:D13)</f>
        <v>4568525000</v>
      </c>
      <c r="E14" s="186">
        <f>SUM(E11:E13)</f>
        <v>1133327458</v>
      </c>
      <c r="F14" s="186">
        <f>SUM(F11:F13)</f>
        <v>3435197542</v>
      </c>
      <c r="G14" s="132"/>
      <c r="H14" s="204"/>
      <c r="M14" s="123"/>
      <c r="S14" s="123"/>
    </row>
    <row r="15" spans="1:28" ht="15.75" customHeight="1" x14ac:dyDescent="0.3">
      <c r="A15" s="128">
        <v>2</v>
      </c>
      <c r="B15" s="141" t="s">
        <v>38</v>
      </c>
      <c r="C15" s="130"/>
      <c r="D15" s="130"/>
      <c r="E15" s="130"/>
      <c r="F15" s="131"/>
      <c r="G15" s="180" t="s">
        <v>39</v>
      </c>
      <c r="H15" s="204"/>
      <c r="M15" s="123"/>
      <c r="S15" s="123"/>
    </row>
    <row r="16" spans="1:28" ht="15.75" customHeight="1" x14ac:dyDescent="0.3">
      <c r="A16" s="142" t="s">
        <v>40</v>
      </c>
      <c r="B16" s="141" t="s">
        <v>41</v>
      </c>
      <c r="C16" s="130" t="s">
        <v>33</v>
      </c>
      <c r="D16" s="187">
        <f>D17+D18</f>
        <v>0</v>
      </c>
      <c r="E16" s="130"/>
      <c r="F16" s="130"/>
      <c r="G16" s="132"/>
      <c r="H16" s="204"/>
      <c r="M16" s="123"/>
      <c r="S16" s="123"/>
    </row>
    <row r="17" spans="1:19" ht="15.75" customHeight="1" x14ac:dyDescent="0.3">
      <c r="A17" s="142" t="s">
        <v>42</v>
      </c>
      <c r="B17" s="141" t="s">
        <v>43</v>
      </c>
      <c r="C17" s="130" t="s">
        <v>33</v>
      </c>
      <c r="D17" s="187">
        <v>0</v>
      </c>
      <c r="E17" s="182"/>
      <c r="F17" s="131"/>
      <c r="G17" s="132"/>
      <c r="H17" s="204"/>
      <c r="M17" s="123"/>
      <c r="S17" s="123"/>
    </row>
    <row r="18" spans="1:19" ht="15.75" customHeight="1" x14ac:dyDescent="0.3">
      <c r="A18" s="142" t="s">
        <v>44</v>
      </c>
      <c r="B18" s="141" t="s">
        <v>45</v>
      </c>
      <c r="C18" s="130" t="s">
        <v>33</v>
      </c>
      <c r="D18" s="187">
        <v>0</v>
      </c>
      <c r="E18" s="182"/>
      <c r="F18" s="131"/>
      <c r="G18" s="132"/>
      <c r="H18" s="204"/>
      <c r="M18" s="123"/>
      <c r="S18" s="123"/>
    </row>
    <row r="19" spans="1:19" ht="15.75" customHeight="1" x14ac:dyDescent="0.3">
      <c r="A19" s="142" t="s">
        <v>46</v>
      </c>
      <c r="B19" s="141" t="s">
        <v>47</v>
      </c>
      <c r="C19" s="130" t="s">
        <v>33</v>
      </c>
      <c r="D19" s="183">
        <v>0</v>
      </c>
      <c r="E19" s="183"/>
      <c r="F19" s="131"/>
      <c r="G19" s="132"/>
      <c r="H19" s="204"/>
      <c r="M19" s="123"/>
      <c r="S19" s="123"/>
    </row>
    <row r="20" spans="1:19" ht="15.75" customHeight="1" x14ac:dyDescent="0.3">
      <c r="A20" s="142" t="s">
        <v>48</v>
      </c>
      <c r="B20" s="141" t="s">
        <v>49</v>
      </c>
      <c r="C20" s="130" t="s">
        <v>33</v>
      </c>
      <c r="D20" s="187">
        <v>0</v>
      </c>
      <c r="E20" s="130"/>
      <c r="F20" s="131"/>
      <c r="G20" s="132"/>
      <c r="H20" s="204"/>
      <c r="M20" s="123"/>
      <c r="S20" s="123"/>
    </row>
    <row r="21" spans="1:19" ht="15.75" customHeight="1" x14ac:dyDescent="0.3">
      <c r="A21" s="142" t="s">
        <v>50</v>
      </c>
      <c r="B21" s="141" t="s">
        <v>51</v>
      </c>
      <c r="C21" s="130" t="s">
        <v>33</v>
      </c>
      <c r="D21" s="187">
        <v>0</v>
      </c>
      <c r="E21" s="182"/>
      <c r="F21" s="131"/>
      <c r="G21" s="132"/>
      <c r="H21" s="204"/>
      <c r="M21" s="123"/>
      <c r="S21" s="123"/>
    </row>
    <row r="22" spans="1:19" ht="15.75" customHeight="1" x14ac:dyDescent="0.3">
      <c r="A22" s="142" t="s">
        <v>52</v>
      </c>
      <c r="B22" s="141" t="s">
        <v>53</v>
      </c>
      <c r="C22" s="130" t="s">
        <v>33</v>
      </c>
      <c r="D22" s="187">
        <v>0</v>
      </c>
      <c r="E22" s="182"/>
      <c r="F22" s="131"/>
      <c r="G22" s="132"/>
      <c r="H22" s="204"/>
      <c r="M22" s="123"/>
      <c r="S22" s="123"/>
    </row>
    <row r="23" spans="1:19" ht="15.75" customHeight="1" x14ac:dyDescent="0.3">
      <c r="A23" s="142" t="s">
        <v>54</v>
      </c>
      <c r="B23" s="141" t="s">
        <v>55</v>
      </c>
      <c r="C23" s="130" t="s">
        <v>33</v>
      </c>
      <c r="D23" s="187">
        <v>0</v>
      </c>
      <c r="E23" s="182"/>
      <c r="F23" s="131"/>
      <c r="G23" s="132"/>
      <c r="H23" s="204"/>
      <c r="M23" s="123"/>
      <c r="S23" s="123"/>
    </row>
    <row r="24" spans="1:19" ht="15.75" customHeight="1" x14ac:dyDescent="0.3">
      <c r="A24" s="133"/>
      <c r="B24" s="141" t="s">
        <v>56</v>
      </c>
      <c r="C24" s="130" t="s">
        <v>33</v>
      </c>
      <c r="D24" s="188">
        <f>D16-D17-D18-D19</f>
        <v>0</v>
      </c>
      <c r="E24" s="130"/>
      <c r="F24" s="131"/>
      <c r="G24" s="132"/>
      <c r="H24" s="204"/>
      <c r="M24" s="123"/>
      <c r="S24" s="123"/>
    </row>
    <row r="25" spans="1:19" ht="24" customHeight="1" x14ac:dyDescent="0.3">
      <c r="A25" s="181">
        <v>3</v>
      </c>
      <c r="B25" s="129" t="s">
        <v>57</v>
      </c>
      <c r="C25" s="130" t="s">
        <v>33</v>
      </c>
      <c r="D25" s="184" t="s">
        <v>405</v>
      </c>
      <c r="E25" s="123"/>
      <c r="F25" s="131"/>
      <c r="G25" s="132"/>
      <c r="H25" s="204"/>
      <c r="M25" s="123"/>
      <c r="S25" s="123"/>
    </row>
    <row r="26" spans="1:19" ht="15.75" customHeight="1" x14ac:dyDescent="0.3">
      <c r="A26" s="133"/>
      <c r="B26" s="129" t="s">
        <v>41</v>
      </c>
      <c r="C26" s="130" t="s">
        <v>33</v>
      </c>
      <c r="D26" s="187">
        <f>D16</f>
        <v>0</v>
      </c>
      <c r="E26" s="182"/>
      <c r="F26" s="131"/>
      <c r="G26" s="132"/>
      <c r="H26" s="204"/>
      <c r="M26" s="123"/>
      <c r="S26" s="123"/>
    </row>
    <row r="27" spans="1:19" ht="14.25" customHeight="1" x14ac:dyDescent="0.3">
      <c r="A27" s="133"/>
      <c r="B27" s="129" t="s">
        <v>59</v>
      </c>
      <c r="C27" s="130" t="s">
        <v>33</v>
      </c>
      <c r="D27" s="187">
        <f>D17+D18</f>
        <v>0</v>
      </c>
      <c r="E27" s="182"/>
      <c r="F27" s="131"/>
      <c r="G27" s="132"/>
      <c r="H27" s="204"/>
      <c r="M27" s="123"/>
      <c r="S27" s="123"/>
    </row>
    <row r="28" spans="1:19" ht="15.75" customHeight="1" x14ac:dyDescent="0.3">
      <c r="A28" s="133"/>
      <c r="B28" s="129" t="s">
        <v>60</v>
      </c>
      <c r="C28" s="130" t="s">
        <v>33</v>
      </c>
      <c r="D28" s="187">
        <f>D26-D27</f>
        <v>0</v>
      </c>
      <c r="E28" s="130"/>
      <c r="F28" s="131"/>
      <c r="G28" s="132"/>
      <c r="H28" s="204"/>
      <c r="M28" s="123"/>
      <c r="S28" s="123"/>
    </row>
    <row r="29" spans="1:19" ht="15.75" customHeight="1" x14ac:dyDescent="0.3">
      <c r="A29" s="128">
        <v>4</v>
      </c>
      <c r="B29" s="143" t="s">
        <v>360</v>
      </c>
      <c r="C29" s="130" t="s">
        <v>33</v>
      </c>
      <c r="D29" s="205" t="s">
        <v>404</v>
      </c>
      <c r="E29" s="198"/>
      <c r="F29" s="131"/>
      <c r="G29" s="180" t="s">
        <v>76</v>
      </c>
      <c r="H29" s="204"/>
      <c r="M29" s="123"/>
      <c r="S29" s="123"/>
    </row>
    <row r="30" spans="1:19" ht="15.75" customHeight="1" x14ac:dyDescent="0.3">
      <c r="A30" s="128">
        <v>5</v>
      </c>
      <c r="B30" s="145" t="s">
        <v>62</v>
      </c>
      <c r="C30" s="130" t="s">
        <v>33</v>
      </c>
      <c r="D30" s="205" t="s">
        <v>404</v>
      </c>
      <c r="E30" s="198"/>
      <c r="F30" s="131"/>
      <c r="G30" s="180" t="s">
        <v>63</v>
      </c>
      <c r="H30" s="146"/>
      <c r="M30" s="123"/>
      <c r="S30" s="123"/>
    </row>
    <row r="31" spans="1:19" ht="15.75" customHeight="1" x14ac:dyDescent="0.3">
      <c r="A31" s="128">
        <v>6</v>
      </c>
      <c r="B31" s="147" t="s">
        <v>64</v>
      </c>
      <c r="C31" s="130" t="s">
        <v>33</v>
      </c>
      <c r="D31" s="205" t="s">
        <v>404</v>
      </c>
      <c r="E31" s="198"/>
      <c r="F31" s="131"/>
      <c r="G31" s="180" t="s">
        <v>65</v>
      </c>
      <c r="H31" s="146"/>
      <c r="M31" s="123"/>
      <c r="S31" s="123"/>
    </row>
    <row r="32" spans="1:19" ht="15.75" customHeight="1" x14ac:dyDescent="0.3">
      <c r="A32" s="174" t="s">
        <v>66</v>
      </c>
      <c r="B32" s="175" t="s">
        <v>67</v>
      </c>
      <c r="C32" s="148"/>
      <c r="D32" s="148"/>
      <c r="E32" s="148"/>
      <c r="F32" s="135"/>
      <c r="G32" s="136"/>
      <c r="H32" s="206" t="s">
        <v>68</v>
      </c>
      <c r="M32" s="123"/>
      <c r="S32" s="123"/>
    </row>
    <row r="33" spans="1:19" ht="15.75" customHeight="1" x14ac:dyDescent="0.3">
      <c r="A33" s="128">
        <v>1</v>
      </c>
      <c r="B33" s="129" t="s">
        <v>69</v>
      </c>
      <c r="C33" s="130" t="s">
        <v>33</v>
      </c>
      <c r="D33" s="130"/>
      <c r="E33" s="130"/>
      <c r="F33" s="131"/>
      <c r="G33" s="132" t="s">
        <v>396</v>
      </c>
      <c r="H33" s="204"/>
      <c r="M33" s="123"/>
      <c r="S33" s="123"/>
    </row>
    <row r="34" spans="1:19" ht="32.25" customHeight="1" x14ac:dyDescent="0.3">
      <c r="A34" s="128"/>
      <c r="B34" s="134" t="s">
        <v>34</v>
      </c>
      <c r="C34" s="135"/>
      <c r="D34" s="136" t="s">
        <v>19</v>
      </c>
      <c r="E34" s="136" t="s">
        <v>406</v>
      </c>
      <c r="F34" s="136" t="s">
        <v>407</v>
      </c>
      <c r="H34" s="204"/>
      <c r="M34" s="123"/>
      <c r="S34" s="123"/>
    </row>
    <row r="35" spans="1:19" ht="15.75" customHeight="1" x14ac:dyDescent="0.3">
      <c r="A35" s="128"/>
      <c r="B35" s="137" t="s">
        <v>36</v>
      </c>
      <c r="C35" s="138"/>
      <c r="D35" s="189">
        <v>0</v>
      </c>
      <c r="E35" s="189">
        <v>0</v>
      </c>
      <c r="F35" s="189">
        <v>0</v>
      </c>
      <c r="G35" s="132"/>
      <c r="H35" s="204"/>
      <c r="M35" s="123"/>
      <c r="S35" s="123"/>
    </row>
    <row r="36" spans="1:19" ht="15.75" customHeight="1" x14ac:dyDescent="0.3">
      <c r="A36" s="128"/>
      <c r="B36" s="137" t="s">
        <v>37</v>
      </c>
      <c r="C36" s="138"/>
      <c r="D36" s="189">
        <v>0</v>
      </c>
      <c r="E36" s="189">
        <v>0</v>
      </c>
      <c r="F36" s="189">
        <v>0</v>
      </c>
      <c r="G36" s="132"/>
      <c r="H36" s="204"/>
      <c r="M36" s="123"/>
      <c r="S36" s="123"/>
    </row>
    <row r="37" spans="1:19" ht="15.75" customHeight="1" x14ac:dyDescent="0.3">
      <c r="A37" s="128"/>
      <c r="B37" s="140" t="s">
        <v>26</v>
      </c>
      <c r="C37" s="135"/>
      <c r="D37" s="190">
        <f>D35+D36</f>
        <v>0</v>
      </c>
      <c r="E37" s="190">
        <f t="shared" ref="E37:F37" si="0">E35+E36</f>
        <v>0</v>
      </c>
      <c r="F37" s="190">
        <f t="shared" si="0"/>
        <v>0</v>
      </c>
      <c r="G37" s="132"/>
      <c r="H37" s="204"/>
      <c r="M37" s="123"/>
      <c r="S37" s="123"/>
    </row>
    <row r="38" spans="1:19" ht="15.75" customHeight="1" x14ac:dyDescent="0.3">
      <c r="A38" s="128">
        <v>2</v>
      </c>
      <c r="B38" s="129" t="s">
        <v>57</v>
      </c>
      <c r="C38" s="130" t="s">
        <v>33</v>
      </c>
      <c r="D38" s="207" t="s">
        <v>58</v>
      </c>
      <c r="E38" s="198"/>
      <c r="F38" s="131"/>
      <c r="G38" s="132"/>
      <c r="H38" s="204"/>
      <c r="M38" s="123"/>
      <c r="S38" s="123"/>
    </row>
    <row r="39" spans="1:19" ht="15.75" customHeight="1" x14ac:dyDescent="0.3">
      <c r="A39" s="142" t="s">
        <v>70</v>
      </c>
      <c r="B39" s="141" t="s">
        <v>71</v>
      </c>
      <c r="C39" s="130" t="s">
        <v>33</v>
      </c>
      <c r="D39" s="182">
        <v>0</v>
      </c>
      <c r="E39" s="130"/>
      <c r="F39" s="131"/>
      <c r="G39" s="132" t="s">
        <v>72</v>
      </c>
      <c r="H39" s="204"/>
      <c r="M39" s="123"/>
      <c r="S39" s="123"/>
    </row>
    <row r="40" spans="1:19" ht="15.75" customHeight="1" x14ac:dyDescent="0.3">
      <c r="A40" s="142" t="s">
        <v>70</v>
      </c>
      <c r="B40" s="141" t="s">
        <v>73</v>
      </c>
      <c r="C40" s="130" t="s">
        <v>33</v>
      </c>
      <c r="D40" s="182">
        <v>0</v>
      </c>
      <c r="E40" s="130"/>
      <c r="F40" s="131"/>
      <c r="G40" s="132" t="s">
        <v>74</v>
      </c>
      <c r="H40" s="204"/>
      <c r="M40" s="123"/>
      <c r="S40" s="123"/>
    </row>
    <row r="41" spans="1:19" ht="15.75" customHeight="1" x14ac:dyDescent="0.3">
      <c r="A41" s="133"/>
      <c r="B41" s="141" t="s">
        <v>75</v>
      </c>
      <c r="C41" s="130"/>
      <c r="D41" s="182">
        <f>D39+D40</f>
        <v>0</v>
      </c>
      <c r="E41" s="130"/>
      <c r="F41" s="130"/>
      <c r="G41" s="132"/>
      <c r="H41" s="204"/>
      <c r="M41" s="123"/>
      <c r="S41" s="123"/>
    </row>
    <row r="42" spans="1:19" ht="15.75" customHeight="1" x14ac:dyDescent="0.3">
      <c r="A42" s="128">
        <v>3</v>
      </c>
      <c r="B42" s="141" t="s">
        <v>38</v>
      </c>
      <c r="C42" s="130"/>
      <c r="D42" s="130"/>
      <c r="E42" s="130"/>
      <c r="F42" s="131"/>
      <c r="G42" s="132" t="s">
        <v>39</v>
      </c>
      <c r="H42" s="204"/>
      <c r="M42" s="123"/>
      <c r="S42" s="123"/>
    </row>
    <row r="43" spans="1:19" ht="15.75" customHeight="1" x14ac:dyDescent="0.3">
      <c r="A43" s="142" t="s">
        <v>70</v>
      </c>
      <c r="B43" s="141" t="s">
        <v>41</v>
      </c>
      <c r="C43" s="130" t="s">
        <v>33</v>
      </c>
      <c r="D43" s="182">
        <f t="shared" ref="D43" si="1">D41+D42</f>
        <v>0</v>
      </c>
      <c r="E43" s="130"/>
      <c r="F43" s="130"/>
      <c r="G43" s="132"/>
      <c r="H43" s="204"/>
      <c r="M43" s="123"/>
      <c r="S43" s="123"/>
    </row>
    <row r="44" spans="1:19" ht="15.75" customHeight="1" x14ac:dyDescent="0.3">
      <c r="A44" s="142" t="s">
        <v>70</v>
      </c>
      <c r="B44" s="141" t="s">
        <v>43</v>
      </c>
      <c r="C44" s="130" t="s">
        <v>33</v>
      </c>
      <c r="D44" s="182">
        <f>D39</f>
        <v>0</v>
      </c>
      <c r="E44" s="130"/>
      <c r="F44" s="131"/>
      <c r="G44" s="132"/>
      <c r="H44" s="204"/>
      <c r="M44" s="123"/>
      <c r="S44" s="123"/>
    </row>
    <row r="45" spans="1:19" ht="15.75" customHeight="1" x14ac:dyDescent="0.3">
      <c r="A45" s="142" t="s">
        <v>70</v>
      </c>
      <c r="B45" s="141" t="s">
        <v>45</v>
      </c>
      <c r="C45" s="130" t="s">
        <v>33</v>
      </c>
      <c r="D45" s="191">
        <f>D40</f>
        <v>0</v>
      </c>
      <c r="E45" s="130"/>
      <c r="F45" s="131"/>
      <c r="G45" s="132"/>
      <c r="H45" s="204"/>
      <c r="M45" s="123"/>
      <c r="S45" s="123"/>
    </row>
    <row r="46" spans="1:19" ht="15.75" customHeight="1" x14ac:dyDescent="0.3">
      <c r="A46" s="142" t="s">
        <v>70</v>
      </c>
      <c r="B46" s="141" t="s">
        <v>49</v>
      </c>
      <c r="C46" s="130" t="s">
        <v>33</v>
      </c>
      <c r="D46" s="182">
        <v>0</v>
      </c>
      <c r="E46" s="130"/>
      <c r="F46" s="131"/>
      <c r="G46" s="132"/>
      <c r="H46" s="204"/>
      <c r="M46" s="123"/>
      <c r="S46" s="123"/>
    </row>
    <row r="47" spans="1:19" ht="15.75" customHeight="1" x14ac:dyDescent="0.3">
      <c r="A47" s="142" t="s">
        <v>70</v>
      </c>
      <c r="B47" s="141" t="s">
        <v>47</v>
      </c>
      <c r="C47" s="130" t="s">
        <v>33</v>
      </c>
      <c r="D47" s="182">
        <v>0</v>
      </c>
      <c r="E47" s="130"/>
      <c r="F47" s="131"/>
      <c r="G47" s="132"/>
      <c r="H47" s="204"/>
      <c r="M47" s="123"/>
      <c r="S47" s="123"/>
    </row>
    <row r="48" spans="1:19" ht="15.75" customHeight="1" x14ac:dyDescent="0.3">
      <c r="A48" s="142" t="s">
        <v>70</v>
      </c>
      <c r="B48" s="141" t="s">
        <v>51</v>
      </c>
      <c r="C48" s="130" t="s">
        <v>33</v>
      </c>
      <c r="D48" s="182">
        <v>0</v>
      </c>
      <c r="E48" s="130"/>
      <c r="F48" s="131"/>
      <c r="G48" s="132"/>
      <c r="H48" s="204"/>
      <c r="M48" s="123"/>
      <c r="S48" s="123"/>
    </row>
    <row r="49" spans="1:28" ht="15.75" customHeight="1" x14ac:dyDescent="0.3">
      <c r="A49" s="142" t="s">
        <v>70</v>
      </c>
      <c r="B49" s="141" t="s">
        <v>55</v>
      </c>
      <c r="C49" s="130" t="s">
        <v>33</v>
      </c>
      <c r="D49" s="182">
        <v>0</v>
      </c>
      <c r="E49" s="130"/>
      <c r="F49" s="131"/>
      <c r="G49" s="132"/>
      <c r="H49" s="204"/>
      <c r="M49" s="123"/>
      <c r="S49" s="123"/>
    </row>
    <row r="50" spans="1:28" ht="15.75" customHeight="1" x14ac:dyDescent="0.3">
      <c r="A50" s="128">
        <v>4</v>
      </c>
      <c r="B50" s="143" t="s">
        <v>360</v>
      </c>
      <c r="C50" s="145" t="s">
        <v>33</v>
      </c>
      <c r="D50" s="208" t="s">
        <v>61</v>
      </c>
      <c r="E50" s="209"/>
      <c r="F50" s="149"/>
      <c r="G50" s="132" t="s">
        <v>76</v>
      </c>
      <c r="H50" s="204"/>
      <c r="M50" s="123"/>
      <c r="S50" s="123"/>
    </row>
    <row r="51" spans="1:28" ht="15.75" customHeight="1" x14ac:dyDescent="0.3">
      <c r="A51" s="128"/>
      <c r="B51" s="141"/>
      <c r="C51" s="130"/>
      <c r="D51" s="144"/>
      <c r="E51" s="144"/>
      <c r="F51" s="131"/>
      <c r="G51" s="132"/>
      <c r="H51" s="150"/>
      <c r="M51" s="123"/>
      <c r="S51" s="123"/>
    </row>
    <row r="52" spans="1:28" ht="14.25" customHeight="1" x14ac:dyDescent="0.3">
      <c r="A52" s="174" t="s">
        <v>77</v>
      </c>
      <c r="B52" s="175" t="s">
        <v>78</v>
      </c>
      <c r="C52" s="151"/>
      <c r="D52" s="151"/>
      <c r="E52" s="151"/>
      <c r="F52" s="152"/>
      <c r="G52" s="153"/>
      <c r="H52" s="203" t="s">
        <v>79</v>
      </c>
      <c r="M52" s="123"/>
      <c r="S52" s="123"/>
    </row>
    <row r="53" spans="1:28" ht="14.25" customHeight="1" x14ac:dyDescent="0.3">
      <c r="A53" s="154">
        <v>1</v>
      </c>
      <c r="B53" s="155" t="s">
        <v>80</v>
      </c>
      <c r="C53" s="156" t="s">
        <v>33</v>
      </c>
      <c r="D53" s="211" t="s">
        <v>404</v>
      </c>
      <c r="E53" s="212"/>
      <c r="F53" s="157"/>
      <c r="G53" s="178" t="s">
        <v>81</v>
      </c>
      <c r="H53" s="204"/>
      <c r="M53" s="123"/>
      <c r="S53" s="123"/>
    </row>
    <row r="54" spans="1:28" ht="15.6" x14ac:dyDescent="0.3">
      <c r="A54" s="158">
        <v>2</v>
      </c>
      <c r="B54" s="159" t="s">
        <v>82</v>
      </c>
      <c r="C54" s="160" t="s">
        <v>33</v>
      </c>
      <c r="D54" s="213" t="s">
        <v>404</v>
      </c>
      <c r="E54" s="214"/>
      <c r="F54" s="161"/>
      <c r="G54" s="179" t="s">
        <v>83</v>
      </c>
      <c r="H54" s="216"/>
      <c r="M54" s="123"/>
      <c r="S54" s="123"/>
    </row>
    <row r="55" spans="1:28" ht="14.25" hidden="1" customHeight="1" x14ac:dyDescent="0.3">
      <c r="A55" s="176" t="s">
        <v>84</v>
      </c>
      <c r="B55" s="177" t="s">
        <v>85</v>
      </c>
      <c r="C55" s="162"/>
      <c r="D55" s="162"/>
      <c r="E55" s="162"/>
      <c r="F55" s="163"/>
      <c r="G55" s="164"/>
      <c r="H55" s="217" t="s">
        <v>86</v>
      </c>
      <c r="M55" s="123"/>
      <c r="S55" s="123"/>
    </row>
    <row r="56" spans="1:28" ht="28.5" hidden="1" customHeight="1" x14ac:dyDescent="0.3">
      <c r="A56" s="118">
        <v>1</v>
      </c>
      <c r="B56" s="165" t="s">
        <v>62</v>
      </c>
      <c r="C56" s="160" t="s">
        <v>33</v>
      </c>
      <c r="D56" s="213" t="s">
        <v>87</v>
      </c>
      <c r="E56" s="214"/>
      <c r="F56" s="166"/>
      <c r="G56" s="132" t="s">
        <v>65</v>
      </c>
      <c r="H56" s="204"/>
      <c r="I56" s="167"/>
      <c r="J56" s="167"/>
      <c r="K56" s="167"/>
      <c r="L56" s="167"/>
      <c r="M56" s="130"/>
      <c r="N56" s="167"/>
      <c r="O56" s="167"/>
      <c r="P56" s="167"/>
      <c r="Q56" s="167"/>
      <c r="R56" s="167"/>
      <c r="S56" s="130"/>
      <c r="T56" s="167"/>
      <c r="U56" s="167"/>
      <c r="V56" s="167"/>
      <c r="W56" s="167"/>
      <c r="X56" s="167"/>
      <c r="Y56" s="167"/>
      <c r="Z56" s="167"/>
      <c r="AA56" s="167"/>
      <c r="AB56" s="167"/>
    </row>
    <row r="57" spans="1:28" ht="28.5" hidden="1" customHeight="1" x14ac:dyDescent="0.3">
      <c r="A57" s="118">
        <v>2</v>
      </c>
      <c r="B57" s="165" t="s">
        <v>88</v>
      </c>
      <c r="C57" s="160" t="s">
        <v>33</v>
      </c>
      <c r="D57" s="213" t="s">
        <v>87</v>
      </c>
      <c r="E57" s="214"/>
      <c r="F57" s="166"/>
      <c r="G57" s="139" t="s">
        <v>89</v>
      </c>
      <c r="H57" s="216"/>
      <c r="I57" s="167"/>
      <c r="J57" s="167"/>
      <c r="K57" s="167"/>
      <c r="L57" s="167"/>
      <c r="M57" s="130"/>
      <c r="N57" s="167"/>
      <c r="O57" s="167"/>
      <c r="P57" s="167"/>
      <c r="Q57" s="167"/>
      <c r="R57" s="167"/>
      <c r="S57" s="130"/>
      <c r="T57" s="167"/>
      <c r="U57" s="167"/>
      <c r="V57" s="167"/>
      <c r="W57" s="167"/>
      <c r="X57" s="167"/>
      <c r="Y57" s="167"/>
      <c r="Z57" s="167"/>
      <c r="AA57" s="167"/>
      <c r="AB57" s="167"/>
    </row>
    <row r="58" spans="1:28" ht="14.25" customHeight="1" x14ac:dyDescent="0.3">
      <c r="A58" s="117"/>
      <c r="B58" s="168"/>
      <c r="C58" s="168"/>
      <c r="D58" s="168"/>
      <c r="E58" s="168"/>
      <c r="F58" s="168"/>
      <c r="G58" s="168"/>
      <c r="H58" s="168"/>
      <c r="M58" s="123"/>
      <c r="S58" s="123"/>
    </row>
    <row r="59" spans="1:28" ht="14.25" customHeight="1" x14ac:dyDescent="0.3">
      <c r="A59" s="117"/>
      <c r="B59" s="168"/>
      <c r="C59" s="168"/>
      <c r="D59" s="168"/>
      <c r="E59" s="168"/>
      <c r="F59" s="168"/>
      <c r="G59" s="199" t="s">
        <v>410</v>
      </c>
      <c r="H59" s="198"/>
      <c r="I59" s="198"/>
      <c r="M59" s="123"/>
      <c r="S59" s="123"/>
    </row>
    <row r="60" spans="1:28" ht="14.25" customHeight="1" x14ac:dyDescent="0.3">
      <c r="A60" s="117"/>
      <c r="B60" s="124" t="s">
        <v>361</v>
      </c>
      <c r="C60" s="168"/>
      <c r="D60" s="168"/>
      <c r="E60" s="168"/>
      <c r="F60" s="168"/>
      <c r="G60" s="120"/>
      <c r="H60" s="120"/>
      <c r="I60" s="120"/>
      <c r="M60" s="123"/>
      <c r="S60" s="123"/>
    </row>
    <row r="61" spans="1:28" ht="15.75" customHeight="1" x14ac:dyDescent="0.3">
      <c r="A61" s="117"/>
      <c r="B61" s="117" t="s">
        <v>91</v>
      </c>
      <c r="C61" s="117"/>
      <c r="D61" s="117"/>
      <c r="E61" s="117"/>
      <c r="F61" s="117"/>
      <c r="G61" s="197" t="s">
        <v>5</v>
      </c>
      <c r="H61" s="198"/>
      <c r="I61" s="168"/>
      <c r="M61" s="123"/>
      <c r="S61" s="123"/>
    </row>
    <row r="62" spans="1:28" ht="15.75" customHeight="1" x14ac:dyDescent="0.3">
      <c r="A62" s="117"/>
      <c r="B62" s="117" t="s">
        <v>398</v>
      </c>
      <c r="C62" s="117"/>
      <c r="D62" s="117"/>
      <c r="E62" s="117"/>
      <c r="F62" s="117"/>
      <c r="G62" s="197" t="s">
        <v>398</v>
      </c>
      <c r="H62" s="198"/>
      <c r="I62" s="169"/>
      <c r="M62" s="123"/>
      <c r="S62" s="123"/>
    </row>
    <row r="63" spans="1:28" ht="14.25" customHeight="1" x14ac:dyDescent="0.3">
      <c r="A63" s="117"/>
      <c r="B63" s="117" t="s">
        <v>7</v>
      </c>
      <c r="G63" s="210" t="s">
        <v>8</v>
      </c>
      <c r="H63" s="210"/>
      <c r="M63" s="123"/>
      <c r="S63" s="123"/>
    </row>
    <row r="64" spans="1:28" ht="14.25" customHeight="1" x14ac:dyDescent="0.3">
      <c r="A64" s="117"/>
      <c r="M64" s="123"/>
      <c r="S64" s="123"/>
    </row>
    <row r="65" spans="1:19" ht="14.25" customHeight="1" x14ac:dyDescent="0.3">
      <c r="A65" s="117"/>
      <c r="M65" s="123"/>
      <c r="S65" s="123"/>
    </row>
    <row r="66" spans="1:19" ht="14.25" customHeight="1" x14ac:dyDescent="0.3">
      <c r="A66" s="117"/>
      <c r="M66" s="123"/>
      <c r="S66" s="123"/>
    </row>
    <row r="67" spans="1:19" ht="14.25" customHeight="1" x14ac:dyDescent="0.3">
      <c r="A67" s="117"/>
      <c r="B67" s="120" t="s">
        <v>399</v>
      </c>
      <c r="C67" s="170"/>
      <c r="D67" s="170"/>
      <c r="E67" s="170"/>
      <c r="G67" s="199" t="s">
        <v>403</v>
      </c>
      <c r="H67" s="199"/>
      <c r="I67" s="119"/>
      <c r="M67" s="123"/>
      <c r="S67" s="123"/>
    </row>
    <row r="68" spans="1:19" ht="14.25" customHeight="1" x14ac:dyDescent="0.3">
      <c r="A68" s="117"/>
      <c r="B68" s="215"/>
      <c r="C68" s="198"/>
      <c r="D68" s="198"/>
      <c r="E68" s="198"/>
      <c r="G68" s="199" t="s">
        <v>400</v>
      </c>
      <c r="H68" s="199"/>
      <c r="I68" s="119"/>
      <c r="M68" s="123"/>
      <c r="S68" s="123"/>
    </row>
    <row r="69" spans="1:19" ht="14.25" customHeight="1" x14ac:dyDescent="0.3">
      <c r="A69" s="117"/>
      <c r="D69" s="210" t="s">
        <v>10</v>
      </c>
      <c r="E69" s="210"/>
      <c r="F69" s="210"/>
      <c r="G69" s="199"/>
      <c r="H69" s="198"/>
      <c r="I69" s="198"/>
      <c r="M69" s="123"/>
      <c r="S69" s="123"/>
    </row>
    <row r="70" spans="1:19" ht="14.25" customHeight="1" x14ac:dyDescent="0.3">
      <c r="A70" s="117"/>
      <c r="D70" s="210" t="s">
        <v>401</v>
      </c>
      <c r="E70" s="210"/>
      <c r="F70" s="210"/>
      <c r="M70" s="123"/>
      <c r="S70" s="123"/>
    </row>
    <row r="71" spans="1:19" ht="14.25" customHeight="1" x14ac:dyDescent="0.3">
      <c r="A71" s="117"/>
      <c r="D71" s="210" t="s">
        <v>11</v>
      </c>
      <c r="E71" s="210"/>
      <c r="F71" s="210"/>
      <c r="M71" s="123"/>
      <c r="S71" s="123"/>
    </row>
    <row r="72" spans="1:19" ht="14.25" customHeight="1" x14ac:dyDescent="0.3">
      <c r="A72" s="117"/>
      <c r="D72" s="117"/>
      <c r="M72" s="123"/>
      <c r="S72" s="123"/>
    </row>
    <row r="73" spans="1:19" ht="14.25" customHeight="1" x14ac:dyDescent="0.3">
      <c r="A73" s="117"/>
      <c r="D73" s="117"/>
      <c r="M73" s="123"/>
      <c r="S73" s="123"/>
    </row>
    <row r="74" spans="1:19" ht="14.25" customHeight="1" x14ac:dyDescent="0.3">
      <c r="A74" s="117"/>
      <c r="M74" s="123"/>
      <c r="S74" s="123"/>
    </row>
    <row r="75" spans="1:19" ht="14.25" customHeight="1" x14ac:dyDescent="0.3">
      <c r="A75" s="117"/>
      <c r="D75" s="210" t="s">
        <v>402</v>
      </c>
      <c r="E75" s="210"/>
      <c r="F75" s="210"/>
      <c r="M75" s="123"/>
      <c r="S75" s="123"/>
    </row>
    <row r="76" spans="1:19" ht="14.25" customHeight="1" x14ac:dyDescent="0.3">
      <c r="A76" s="117"/>
      <c r="M76" s="123"/>
      <c r="S76" s="123"/>
    </row>
    <row r="77" spans="1:19" ht="14.25" customHeight="1" x14ac:dyDescent="0.3">
      <c r="A77" s="117"/>
      <c r="M77" s="123"/>
      <c r="S77" s="123"/>
    </row>
    <row r="78" spans="1:19" ht="14.25" customHeight="1" x14ac:dyDescent="0.3">
      <c r="A78" s="117"/>
      <c r="M78" s="123"/>
      <c r="S78" s="123"/>
    </row>
    <row r="79" spans="1:19" ht="14.25" customHeight="1" x14ac:dyDescent="0.3">
      <c r="A79" s="117"/>
      <c r="M79" s="123"/>
      <c r="S79" s="123"/>
    </row>
    <row r="80" spans="1:19" ht="14.25" customHeight="1" x14ac:dyDescent="0.3">
      <c r="A80" s="117"/>
      <c r="M80" s="123"/>
      <c r="S80" s="123"/>
    </row>
    <row r="81" spans="1:19" ht="14.25" customHeight="1" x14ac:dyDescent="0.3">
      <c r="A81" s="117"/>
      <c r="M81" s="123"/>
      <c r="S81" s="123"/>
    </row>
    <row r="82" spans="1:19" ht="14.25" customHeight="1" x14ac:dyDescent="0.3">
      <c r="A82" s="117"/>
      <c r="M82" s="123"/>
      <c r="S82" s="123"/>
    </row>
    <row r="83" spans="1:19" ht="14.25" customHeight="1" x14ac:dyDescent="0.3">
      <c r="A83" s="117"/>
      <c r="M83" s="123"/>
      <c r="S83" s="123"/>
    </row>
    <row r="84" spans="1:19" ht="14.25" customHeight="1" x14ac:dyDescent="0.3">
      <c r="A84" s="117"/>
      <c r="M84" s="123"/>
      <c r="S84" s="123"/>
    </row>
    <row r="85" spans="1:19" ht="14.25" customHeight="1" x14ac:dyDescent="0.3">
      <c r="A85" s="117"/>
      <c r="M85" s="123"/>
      <c r="S85" s="123"/>
    </row>
    <row r="86" spans="1:19" ht="14.25" customHeight="1" x14ac:dyDescent="0.3">
      <c r="A86" s="117"/>
      <c r="M86" s="123"/>
      <c r="S86" s="123"/>
    </row>
    <row r="87" spans="1:19" ht="14.25" customHeight="1" x14ac:dyDescent="0.3">
      <c r="A87" s="117"/>
      <c r="M87" s="123"/>
      <c r="S87" s="123"/>
    </row>
    <row r="88" spans="1:19" ht="14.25" customHeight="1" x14ac:dyDescent="0.3">
      <c r="A88" s="117"/>
      <c r="M88" s="123"/>
      <c r="S88" s="123"/>
    </row>
    <row r="89" spans="1:19" ht="14.25" customHeight="1" x14ac:dyDescent="0.3">
      <c r="A89" s="117"/>
      <c r="M89" s="123"/>
      <c r="S89" s="123"/>
    </row>
    <row r="90" spans="1:19" ht="14.25" customHeight="1" x14ac:dyDescent="0.3">
      <c r="A90" s="117"/>
      <c r="M90" s="123"/>
      <c r="S90" s="123"/>
    </row>
    <row r="91" spans="1:19" ht="14.25" customHeight="1" x14ac:dyDescent="0.3">
      <c r="A91" s="117"/>
      <c r="M91" s="123"/>
      <c r="S91" s="123"/>
    </row>
    <row r="92" spans="1:19" ht="14.25" customHeight="1" x14ac:dyDescent="0.3">
      <c r="A92" s="117"/>
      <c r="M92" s="123"/>
      <c r="S92" s="123"/>
    </row>
    <row r="93" spans="1:19" ht="14.25" customHeight="1" x14ac:dyDescent="0.3">
      <c r="A93" s="117"/>
      <c r="M93" s="123"/>
      <c r="S93" s="123"/>
    </row>
    <row r="94" spans="1:19" ht="14.25" customHeight="1" x14ac:dyDescent="0.3">
      <c r="A94" s="117"/>
      <c r="M94" s="123"/>
      <c r="S94" s="123"/>
    </row>
    <row r="95" spans="1:19" ht="14.25" customHeight="1" x14ac:dyDescent="0.3">
      <c r="A95" s="117"/>
      <c r="M95" s="123"/>
      <c r="S95" s="123"/>
    </row>
    <row r="96" spans="1:19" ht="14.25" customHeight="1" x14ac:dyDescent="0.3">
      <c r="A96" s="117"/>
      <c r="M96" s="123"/>
      <c r="S96" s="123"/>
    </row>
    <row r="97" spans="1:19" ht="14.25" customHeight="1" x14ac:dyDescent="0.3">
      <c r="A97" s="117"/>
      <c r="M97" s="123"/>
      <c r="S97" s="123"/>
    </row>
    <row r="98" spans="1:19" ht="14.25" customHeight="1" x14ac:dyDescent="0.3">
      <c r="A98" s="117"/>
      <c r="M98" s="123"/>
      <c r="S98" s="123"/>
    </row>
    <row r="99" spans="1:19" ht="14.25" customHeight="1" x14ac:dyDescent="0.3">
      <c r="A99" s="117"/>
      <c r="M99" s="123"/>
      <c r="S99" s="123"/>
    </row>
    <row r="100" spans="1:19" ht="14.25" customHeight="1" x14ac:dyDescent="0.3">
      <c r="A100" s="117"/>
      <c r="M100" s="123"/>
      <c r="S100" s="123"/>
    </row>
    <row r="101" spans="1:19" ht="14.25" customHeight="1" x14ac:dyDescent="0.3">
      <c r="A101" s="117"/>
      <c r="M101" s="123"/>
      <c r="S101" s="123"/>
    </row>
    <row r="102" spans="1:19" ht="14.25" customHeight="1" x14ac:dyDescent="0.3">
      <c r="A102" s="117"/>
      <c r="M102" s="123"/>
      <c r="S102" s="123"/>
    </row>
    <row r="103" spans="1:19" ht="14.25" customHeight="1" x14ac:dyDescent="0.3">
      <c r="A103" s="117"/>
      <c r="M103" s="123"/>
      <c r="S103" s="123"/>
    </row>
    <row r="104" spans="1:19" ht="14.25" customHeight="1" x14ac:dyDescent="0.3">
      <c r="A104" s="117"/>
      <c r="M104" s="123"/>
      <c r="S104" s="123"/>
    </row>
    <row r="105" spans="1:19" ht="14.25" customHeight="1" x14ac:dyDescent="0.3">
      <c r="A105" s="117"/>
      <c r="M105" s="123"/>
      <c r="S105" s="123"/>
    </row>
    <row r="106" spans="1:19" ht="14.25" customHeight="1" x14ac:dyDescent="0.3">
      <c r="A106" s="117"/>
      <c r="M106" s="123"/>
      <c r="S106" s="123"/>
    </row>
    <row r="107" spans="1:19" ht="14.25" customHeight="1" x14ac:dyDescent="0.3">
      <c r="A107" s="117"/>
      <c r="M107" s="123"/>
      <c r="S107" s="123"/>
    </row>
    <row r="108" spans="1:19" ht="14.25" customHeight="1" x14ac:dyDescent="0.3">
      <c r="A108" s="117"/>
      <c r="M108" s="123"/>
      <c r="S108" s="123"/>
    </row>
    <row r="109" spans="1:19" ht="14.25" customHeight="1" x14ac:dyDescent="0.3">
      <c r="A109" s="117"/>
      <c r="M109" s="123"/>
      <c r="S109" s="123"/>
    </row>
    <row r="110" spans="1:19" ht="14.25" customHeight="1" x14ac:dyDescent="0.3">
      <c r="A110" s="117"/>
      <c r="M110" s="123"/>
      <c r="S110" s="123"/>
    </row>
    <row r="111" spans="1:19" ht="14.25" customHeight="1" x14ac:dyDescent="0.3">
      <c r="A111" s="117"/>
      <c r="M111" s="123"/>
      <c r="S111" s="123"/>
    </row>
    <row r="112" spans="1:19" ht="14.25" customHeight="1" x14ac:dyDescent="0.3">
      <c r="A112" s="117"/>
      <c r="M112" s="123"/>
      <c r="S112" s="123"/>
    </row>
    <row r="113" spans="1:19" ht="14.25" customHeight="1" x14ac:dyDescent="0.3">
      <c r="A113" s="117"/>
      <c r="M113" s="123"/>
      <c r="S113" s="123"/>
    </row>
    <row r="114" spans="1:19" ht="14.25" customHeight="1" x14ac:dyDescent="0.3">
      <c r="A114" s="117"/>
      <c r="M114" s="123"/>
      <c r="S114" s="123"/>
    </row>
    <row r="115" spans="1:19" ht="14.25" customHeight="1" x14ac:dyDescent="0.3">
      <c r="A115" s="117"/>
      <c r="M115" s="123"/>
      <c r="S115" s="123"/>
    </row>
    <row r="116" spans="1:19" ht="14.25" customHeight="1" x14ac:dyDescent="0.3">
      <c r="A116" s="117"/>
      <c r="M116" s="123"/>
      <c r="S116" s="123"/>
    </row>
    <row r="117" spans="1:19" ht="14.25" customHeight="1" x14ac:dyDescent="0.3">
      <c r="A117" s="117"/>
      <c r="M117" s="123"/>
      <c r="S117" s="123"/>
    </row>
    <row r="118" spans="1:19" ht="14.25" customHeight="1" x14ac:dyDescent="0.3">
      <c r="A118" s="117"/>
      <c r="M118" s="123"/>
      <c r="S118" s="123"/>
    </row>
    <row r="119" spans="1:19" ht="14.25" customHeight="1" x14ac:dyDescent="0.3">
      <c r="A119" s="117"/>
      <c r="M119" s="123"/>
      <c r="S119" s="123"/>
    </row>
    <row r="120" spans="1:19" ht="14.25" customHeight="1" x14ac:dyDescent="0.3">
      <c r="A120" s="117"/>
      <c r="M120" s="123"/>
      <c r="S120" s="123"/>
    </row>
    <row r="121" spans="1:19" ht="14.25" customHeight="1" x14ac:dyDescent="0.3">
      <c r="A121" s="117"/>
      <c r="M121" s="123"/>
      <c r="S121" s="123"/>
    </row>
    <row r="122" spans="1:19" ht="14.25" customHeight="1" x14ac:dyDescent="0.3">
      <c r="A122" s="117"/>
      <c r="M122" s="123"/>
      <c r="S122" s="123"/>
    </row>
    <row r="123" spans="1:19" ht="14.25" customHeight="1" x14ac:dyDescent="0.3">
      <c r="A123" s="117"/>
      <c r="M123" s="123"/>
      <c r="S123" s="123"/>
    </row>
    <row r="124" spans="1:19" ht="14.25" customHeight="1" x14ac:dyDescent="0.3">
      <c r="A124" s="117"/>
      <c r="M124" s="123"/>
      <c r="S124" s="123"/>
    </row>
    <row r="125" spans="1:19" ht="14.25" customHeight="1" x14ac:dyDescent="0.3">
      <c r="A125" s="117"/>
      <c r="M125" s="123"/>
      <c r="S125" s="123"/>
    </row>
    <row r="126" spans="1:19" ht="14.25" customHeight="1" x14ac:dyDescent="0.3">
      <c r="A126" s="117"/>
      <c r="M126" s="123"/>
      <c r="S126" s="123"/>
    </row>
    <row r="127" spans="1:19" ht="14.25" customHeight="1" x14ac:dyDescent="0.3">
      <c r="A127" s="117"/>
      <c r="M127" s="123"/>
      <c r="S127" s="123"/>
    </row>
    <row r="128" spans="1:19" ht="14.25" customHeight="1" x14ac:dyDescent="0.3">
      <c r="A128" s="117"/>
      <c r="M128" s="123"/>
      <c r="S128" s="123"/>
    </row>
    <row r="129" spans="1:19" ht="14.25" customHeight="1" x14ac:dyDescent="0.3">
      <c r="A129" s="117"/>
      <c r="M129" s="123"/>
      <c r="S129" s="123"/>
    </row>
    <row r="130" spans="1:19" ht="14.25" customHeight="1" x14ac:dyDescent="0.3">
      <c r="A130" s="117"/>
      <c r="M130" s="123"/>
      <c r="S130" s="123"/>
    </row>
    <row r="131" spans="1:19" ht="14.25" customHeight="1" x14ac:dyDescent="0.3">
      <c r="A131" s="117"/>
      <c r="M131" s="123"/>
      <c r="S131" s="123"/>
    </row>
    <row r="132" spans="1:19" ht="14.25" customHeight="1" x14ac:dyDescent="0.3">
      <c r="A132" s="117"/>
      <c r="M132" s="123"/>
      <c r="S132" s="123"/>
    </row>
    <row r="133" spans="1:19" ht="14.25" customHeight="1" x14ac:dyDescent="0.3">
      <c r="A133" s="117"/>
      <c r="M133" s="123"/>
      <c r="S133" s="123"/>
    </row>
    <row r="134" spans="1:19" ht="14.25" customHeight="1" x14ac:dyDescent="0.3">
      <c r="A134" s="117"/>
      <c r="M134" s="123"/>
      <c r="S134" s="123"/>
    </row>
    <row r="135" spans="1:19" ht="14.25" customHeight="1" x14ac:dyDescent="0.3">
      <c r="A135" s="117"/>
      <c r="M135" s="123"/>
      <c r="S135" s="123"/>
    </row>
    <row r="136" spans="1:19" ht="14.25" customHeight="1" x14ac:dyDescent="0.3">
      <c r="A136" s="117"/>
      <c r="M136" s="123"/>
      <c r="S136" s="123"/>
    </row>
    <row r="137" spans="1:19" ht="14.25" customHeight="1" x14ac:dyDescent="0.3">
      <c r="A137" s="117"/>
      <c r="M137" s="123"/>
      <c r="S137" s="123"/>
    </row>
    <row r="138" spans="1:19" ht="14.25" customHeight="1" x14ac:dyDescent="0.3">
      <c r="A138" s="117"/>
      <c r="M138" s="123"/>
      <c r="S138" s="123"/>
    </row>
    <row r="139" spans="1:19" ht="14.25" customHeight="1" x14ac:dyDescent="0.3">
      <c r="A139" s="117"/>
      <c r="M139" s="123"/>
      <c r="S139" s="123"/>
    </row>
    <row r="140" spans="1:19" ht="14.25" customHeight="1" x14ac:dyDescent="0.3">
      <c r="A140" s="117"/>
      <c r="M140" s="123"/>
      <c r="S140" s="123"/>
    </row>
    <row r="141" spans="1:19" ht="14.25" customHeight="1" x14ac:dyDescent="0.3">
      <c r="A141" s="117"/>
      <c r="M141" s="123"/>
      <c r="S141" s="123"/>
    </row>
    <row r="142" spans="1:19" ht="14.25" customHeight="1" x14ac:dyDescent="0.3">
      <c r="A142" s="117"/>
      <c r="M142" s="123"/>
      <c r="S142" s="123"/>
    </row>
    <row r="143" spans="1:19" ht="14.25" customHeight="1" x14ac:dyDescent="0.3">
      <c r="A143" s="117"/>
      <c r="M143" s="123"/>
      <c r="S143" s="123"/>
    </row>
    <row r="144" spans="1:19" ht="14.25" customHeight="1" x14ac:dyDescent="0.3">
      <c r="A144" s="117"/>
      <c r="M144" s="123"/>
      <c r="S144" s="123"/>
    </row>
    <row r="145" spans="1:19" ht="14.25" customHeight="1" x14ac:dyDescent="0.3">
      <c r="A145" s="117"/>
      <c r="M145" s="123"/>
      <c r="S145" s="123"/>
    </row>
    <row r="146" spans="1:19" ht="14.25" customHeight="1" x14ac:dyDescent="0.3">
      <c r="A146" s="117"/>
      <c r="M146" s="123"/>
      <c r="S146" s="123"/>
    </row>
    <row r="147" spans="1:19" ht="14.25" customHeight="1" x14ac:dyDescent="0.3">
      <c r="A147" s="117"/>
      <c r="M147" s="123"/>
      <c r="S147" s="123"/>
    </row>
    <row r="148" spans="1:19" ht="14.25" customHeight="1" x14ac:dyDescent="0.3">
      <c r="A148" s="117"/>
      <c r="M148" s="123"/>
      <c r="S148" s="123"/>
    </row>
    <row r="149" spans="1:19" ht="14.25" customHeight="1" x14ac:dyDescent="0.3">
      <c r="A149" s="117"/>
      <c r="M149" s="123"/>
      <c r="S149" s="123"/>
    </row>
    <row r="150" spans="1:19" ht="14.25" customHeight="1" x14ac:dyDescent="0.3">
      <c r="A150" s="117"/>
      <c r="M150" s="123"/>
      <c r="S150" s="123"/>
    </row>
    <row r="151" spans="1:19" ht="14.25" customHeight="1" x14ac:dyDescent="0.3">
      <c r="A151" s="117"/>
      <c r="M151" s="123"/>
      <c r="S151" s="123"/>
    </row>
    <row r="152" spans="1:19" ht="14.25" customHeight="1" x14ac:dyDescent="0.3">
      <c r="A152" s="117"/>
      <c r="M152" s="123"/>
      <c r="S152" s="123"/>
    </row>
    <row r="153" spans="1:19" ht="14.25" customHeight="1" x14ac:dyDescent="0.3">
      <c r="A153" s="117"/>
      <c r="M153" s="123"/>
      <c r="S153" s="123"/>
    </row>
    <row r="154" spans="1:19" ht="14.25" customHeight="1" x14ac:dyDescent="0.3">
      <c r="A154" s="117"/>
      <c r="M154" s="123"/>
      <c r="S154" s="123"/>
    </row>
    <row r="155" spans="1:19" ht="14.25" customHeight="1" x14ac:dyDescent="0.3">
      <c r="A155" s="117"/>
      <c r="M155" s="123"/>
      <c r="S155" s="123"/>
    </row>
    <row r="156" spans="1:19" ht="14.25" customHeight="1" x14ac:dyDescent="0.3">
      <c r="A156" s="117"/>
      <c r="M156" s="123"/>
      <c r="S156" s="123"/>
    </row>
    <row r="157" spans="1:19" ht="14.25" customHeight="1" x14ac:dyDescent="0.3">
      <c r="A157" s="117"/>
      <c r="M157" s="123"/>
      <c r="S157" s="123"/>
    </row>
    <row r="158" spans="1:19" ht="14.25" customHeight="1" x14ac:dyDescent="0.3">
      <c r="A158" s="117"/>
      <c r="M158" s="123"/>
      <c r="S158" s="123"/>
    </row>
    <row r="159" spans="1:19" ht="14.25" customHeight="1" x14ac:dyDescent="0.3">
      <c r="A159" s="117"/>
      <c r="M159" s="123"/>
      <c r="S159" s="123"/>
    </row>
    <row r="160" spans="1:19" ht="14.25" customHeight="1" x14ac:dyDescent="0.3">
      <c r="A160" s="117"/>
      <c r="M160" s="123"/>
      <c r="S160" s="123"/>
    </row>
    <row r="161" spans="1:19" ht="14.25" customHeight="1" x14ac:dyDescent="0.3">
      <c r="A161" s="117"/>
      <c r="M161" s="123"/>
      <c r="S161" s="123"/>
    </row>
    <row r="162" spans="1:19" ht="14.25" customHeight="1" x14ac:dyDescent="0.3">
      <c r="A162" s="117"/>
      <c r="M162" s="123"/>
      <c r="S162" s="123"/>
    </row>
    <row r="163" spans="1:19" ht="14.25" customHeight="1" x14ac:dyDescent="0.3">
      <c r="A163" s="117"/>
      <c r="M163" s="123"/>
      <c r="S163" s="123"/>
    </row>
    <row r="164" spans="1:19" ht="14.25" customHeight="1" x14ac:dyDescent="0.3">
      <c r="A164" s="117"/>
      <c r="M164" s="123"/>
      <c r="S164" s="123"/>
    </row>
    <row r="165" spans="1:19" ht="14.25" customHeight="1" x14ac:dyDescent="0.3">
      <c r="A165" s="117"/>
      <c r="M165" s="123"/>
      <c r="S165" s="123"/>
    </row>
    <row r="166" spans="1:19" ht="14.25" customHeight="1" x14ac:dyDescent="0.3">
      <c r="A166" s="117"/>
      <c r="M166" s="123"/>
      <c r="S166" s="123"/>
    </row>
    <row r="167" spans="1:19" ht="14.25" customHeight="1" x14ac:dyDescent="0.3">
      <c r="A167" s="117"/>
      <c r="M167" s="123"/>
      <c r="S167" s="123"/>
    </row>
    <row r="168" spans="1:19" ht="14.25" customHeight="1" x14ac:dyDescent="0.3">
      <c r="A168" s="117"/>
      <c r="M168" s="123"/>
      <c r="S168" s="123"/>
    </row>
    <row r="169" spans="1:19" ht="14.25" customHeight="1" x14ac:dyDescent="0.3">
      <c r="A169" s="117"/>
      <c r="M169" s="123"/>
      <c r="S169" s="123"/>
    </row>
    <row r="170" spans="1:19" ht="14.25" customHeight="1" x14ac:dyDescent="0.3">
      <c r="A170" s="117"/>
      <c r="M170" s="123"/>
      <c r="S170" s="123"/>
    </row>
    <row r="171" spans="1:19" ht="14.25" customHeight="1" x14ac:dyDescent="0.3">
      <c r="A171" s="117"/>
      <c r="M171" s="123"/>
      <c r="S171" s="123"/>
    </row>
    <row r="172" spans="1:19" ht="14.25" customHeight="1" x14ac:dyDescent="0.3">
      <c r="A172" s="117"/>
      <c r="M172" s="123"/>
      <c r="S172" s="123"/>
    </row>
    <row r="173" spans="1:19" ht="14.25" customHeight="1" x14ac:dyDescent="0.3">
      <c r="A173" s="117"/>
      <c r="M173" s="123"/>
      <c r="S173" s="123"/>
    </row>
    <row r="174" spans="1:19" ht="14.25" customHeight="1" x14ac:dyDescent="0.3">
      <c r="A174" s="117"/>
      <c r="M174" s="123"/>
      <c r="S174" s="123"/>
    </row>
    <row r="175" spans="1:19" ht="14.25" customHeight="1" x14ac:dyDescent="0.3">
      <c r="A175" s="117"/>
      <c r="M175" s="123"/>
      <c r="S175" s="123"/>
    </row>
    <row r="176" spans="1:19" ht="14.25" customHeight="1" x14ac:dyDescent="0.3">
      <c r="A176" s="117"/>
      <c r="M176" s="123"/>
      <c r="S176" s="123"/>
    </row>
    <row r="177" spans="1:19" ht="14.25" customHeight="1" x14ac:dyDescent="0.3">
      <c r="A177" s="117"/>
      <c r="M177" s="123"/>
      <c r="S177" s="123"/>
    </row>
    <row r="178" spans="1:19" ht="14.25" customHeight="1" x14ac:dyDescent="0.3">
      <c r="A178" s="117"/>
      <c r="M178" s="123"/>
      <c r="S178" s="123"/>
    </row>
    <row r="179" spans="1:19" ht="14.25" customHeight="1" x14ac:dyDescent="0.3">
      <c r="A179" s="117"/>
      <c r="M179" s="123"/>
      <c r="S179" s="123"/>
    </row>
    <row r="180" spans="1:19" ht="14.25" customHeight="1" x14ac:dyDescent="0.3">
      <c r="A180" s="117"/>
      <c r="M180" s="123"/>
      <c r="S180" s="123"/>
    </row>
    <row r="181" spans="1:19" ht="14.25" customHeight="1" x14ac:dyDescent="0.3">
      <c r="A181" s="117"/>
      <c r="M181" s="123"/>
      <c r="S181" s="123"/>
    </row>
    <row r="182" spans="1:19" ht="14.25" customHeight="1" x14ac:dyDescent="0.3">
      <c r="A182" s="117"/>
      <c r="M182" s="123"/>
      <c r="S182" s="123"/>
    </row>
    <row r="183" spans="1:19" ht="14.25" customHeight="1" x14ac:dyDescent="0.3">
      <c r="A183" s="117"/>
      <c r="M183" s="123"/>
      <c r="S183" s="123"/>
    </row>
    <row r="184" spans="1:19" ht="14.25" customHeight="1" x14ac:dyDescent="0.3">
      <c r="A184" s="117"/>
      <c r="M184" s="123"/>
      <c r="S184" s="123"/>
    </row>
    <row r="185" spans="1:19" ht="14.25" customHeight="1" x14ac:dyDescent="0.3">
      <c r="A185" s="117"/>
      <c r="M185" s="123"/>
      <c r="S185" s="123"/>
    </row>
    <row r="186" spans="1:19" ht="14.25" customHeight="1" x14ac:dyDescent="0.3">
      <c r="A186" s="117"/>
      <c r="M186" s="123"/>
      <c r="S186" s="123"/>
    </row>
    <row r="187" spans="1:19" ht="14.25" customHeight="1" x14ac:dyDescent="0.3">
      <c r="A187" s="117"/>
      <c r="M187" s="123"/>
      <c r="S187" s="123"/>
    </row>
    <row r="188" spans="1:19" ht="14.25" customHeight="1" x14ac:dyDescent="0.3">
      <c r="A188" s="117"/>
      <c r="M188" s="123"/>
      <c r="S188" s="123"/>
    </row>
    <row r="189" spans="1:19" ht="14.25" customHeight="1" x14ac:dyDescent="0.3">
      <c r="A189" s="117"/>
      <c r="M189" s="123"/>
      <c r="S189" s="123"/>
    </row>
    <row r="190" spans="1:19" ht="14.25" customHeight="1" x14ac:dyDescent="0.3">
      <c r="A190" s="117"/>
      <c r="M190" s="123"/>
      <c r="S190" s="123"/>
    </row>
    <row r="191" spans="1:19" ht="14.25" customHeight="1" x14ac:dyDescent="0.3">
      <c r="A191" s="117"/>
      <c r="M191" s="123"/>
      <c r="S191" s="123"/>
    </row>
    <row r="192" spans="1:19" ht="14.25" customHeight="1" x14ac:dyDescent="0.3">
      <c r="A192" s="117"/>
      <c r="M192" s="123"/>
      <c r="S192" s="123"/>
    </row>
    <row r="193" spans="1:19" ht="14.25" customHeight="1" x14ac:dyDescent="0.3">
      <c r="A193" s="117"/>
      <c r="M193" s="123"/>
      <c r="S193" s="123"/>
    </row>
    <row r="194" spans="1:19" ht="14.25" customHeight="1" x14ac:dyDescent="0.3">
      <c r="A194" s="117"/>
      <c r="M194" s="123"/>
      <c r="S194" s="123"/>
    </row>
    <row r="195" spans="1:19" ht="14.25" customHeight="1" x14ac:dyDescent="0.3">
      <c r="A195" s="117"/>
      <c r="M195" s="123"/>
      <c r="S195" s="123"/>
    </row>
    <row r="196" spans="1:19" ht="14.25" customHeight="1" x14ac:dyDescent="0.3">
      <c r="A196" s="117"/>
      <c r="M196" s="123"/>
      <c r="S196" s="123"/>
    </row>
    <row r="197" spans="1:19" ht="14.25" customHeight="1" x14ac:dyDescent="0.3">
      <c r="A197" s="117"/>
      <c r="M197" s="123"/>
      <c r="S197" s="123"/>
    </row>
    <row r="198" spans="1:19" ht="14.25" customHeight="1" x14ac:dyDescent="0.3">
      <c r="A198" s="117"/>
      <c r="M198" s="123"/>
      <c r="S198" s="123"/>
    </row>
    <row r="199" spans="1:19" ht="14.25" customHeight="1" x14ac:dyDescent="0.3">
      <c r="A199" s="117"/>
      <c r="M199" s="123"/>
      <c r="S199" s="123"/>
    </row>
    <row r="200" spans="1:19" ht="14.25" customHeight="1" x14ac:dyDescent="0.3">
      <c r="A200" s="117"/>
      <c r="M200" s="123"/>
      <c r="S200" s="123"/>
    </row>
    <row r="201" spans="1:19" ht="14.25" customHeight="1" x14ac:dyDescent="0.3">
      <c r="A201" s="117"/>
      <c r="M201" s="123"/>
      <c r="S201" s="123"/>
    </row>
    <row r="202" spans="1:19" ht="14.25" customHeight="1" x14ac:dyDescent="0.3">
      <c r="A202" s="117"/>
      <c r="M202" s="123"/>
      <c r="S202" s="123"/>
    </row>
    <row r="203" spans="1:19" ht="14.25" customHeight="1" x14ac:dyDescent="0.3">
      <c r="A203" s="117"/>
      <c r="M203" s="123"/>
      <c r="S203" s="123"/>
    </row>
    <row r="204" spans="1:19" ht="14.25" customHeight="1" x14ac:dyDescent="0.3">
      <c r="A204" s="117"/>
      <c r="M204" s="123"/>
      <c r="S204" s="123"/>
    </row>
    <row r="205" spans="1:19" ht="14.25" customHeight="1" x14ac:dyDescent="0.3">
      <c r="A205" s="117"/>
      <c r="M205" s="123"/>
      <c r="S205" s="123"/>
    </row>
    <row r="206" spans="1:19" ht="14.25" customHeight="1" x14ac:dyDescent="0.3">
      <c r="A206" s="117"/>
      <c r="M206" s="123"/>
      <c r="S206" s="123"/>
    </row>
    <row r="207" spans="1:19" ht="14.25" customHeight="1" x14ac:dyDescent="0.3">
      <c r="A207" s="117"/>
      <c r="M207" s="123"/>
      <c r="S207" s="123"/>
    </row>
    <row r="208" spans="1:19" ht="14.25" customHeight="1" x14ac:dyDescent="0.3">
      <c r="A208" s="117"/>
      <c r="M208" s="123"/>
      <c r="S208" s="123"/>
    </row>
    <row r="209" spans="1:19" ht="14.25" customHeight="1" x14ac:dyDescent="0.3">
      <c r="A209" s="117"/>
      <c r="M209" s="123"/>
      <c r="S209" s="123"/>
    </row>
    <row r="210" spans="1:19" ht="14.25" customHeight="1" x14ac:dyDescent="0.3">
      <c r="A210" s="117"/>
      <c r="M210" s="123"/>
      <c r="S210" s="123"/>
    </row>
    <row r="211" spans="1:19" ht="14.25" customHeight="1" x14ac:dyDescent="0.3">
      <c r="A211" s="117"/>
      <c r="M211" s="123"/>
      <c r="S211" s="123"/>
    </row>
    <row r="212" spans="1:19" ht="14.25" customHeight="1" x14ac:dyDescent="0.3">
      <c r="A212" s="117"/>
      <c r="M212" s="123"/>
      <c r="S212" s="123"/>
    </row>
    <row r="213" spans="1:19" ht="14.25" customHeight="1" x14ac:dyDescent="0.3">
      <c r="A213" s="117"/>
      <c r="M213" s="123"/>
      <c r="S213" s="123"/>
    </row>
    <row r="214" spans="1:19" ht="14.25" customHeight="1" x14ac:dyDescent="0.3">
      <c r="A214" s="117"/>
      <c r="M214" s="123"/>
      <c r="S214" s="123"/>
    </row>
    <row r="215" spans="1:19" ht="14.25" customHeight="1" x14ac:dyDescent="0.3">
      <c r="A215" s="117"/>
      <c r="M215" s="123"/>
      <c r="S215" s="123"/>
    </row>
    <row r="216" spans="1:19" ht="14.25" customHeight="1" x14ac:dyDescent="0.3">
      <c r="A216" s="117"/>
      <c r="M216" s="123"/>
      <c r="S216" s="123"/>
    </row>
    <row r="217" spans="1:19" ht="14.25" customHeight="1" x14ac:dyDescent="0.3">
      <c r="A217" s="117"/>
      <c r="M217" s="123"/>
      <c r="S217" s="123"/>
    </row>
    <row r="218" spans="1:19" ht="14.25" customHeight="1" x14ac:dyDescent="0.3">
      <c r="A218" s="117"/>
      <c r="M218" s="123"/>
      <c r="S218" s="123"/>
    </row>
    <row r="219" spans="1:19" ht="14.25" customHeight="1" x14ac:dyDescent="0.3">
      <c r="A219" s="117"/>
      <c r="M219" s="123"/>
      <c r="S219" s="123"/>
    </row>
    <row r="220" spans="1:19" ht="14.25" customHeight="1" x14ac:dyDescent="0.3">
      <c r="A220" s="117"/>
      <c r="M220" s="123"/>
      <c r="S220" s="123"/>
    </row>
    <row r="221" spans="1:19" ht="14.25" customHeight="1" x14ac:dyDescent="0.3">
      <c r="A221" s="117"/>
      <c r="M221" s="123"/>
      <c r="S221" s="123"/>
    </row>
    <row r="222" spans="1:19" ht="14.25" customHeight="1" x14ac:dyDescent="0.3">
      <c r="A222" s="117"/>
      <c r="M222" s="123"/>
      <c r="S222" s="123"/>
    </row>
    <row r="223" spans="1:19" ht="14.25" customHeight="1" x14ac:dyDescent="0.3">
      <c r="A223" s="117"/>
      <c r="M223" s="123"/>
      <c r="S223" s="123"/>
    </row>
    <row r="224" spans="1:19" ht="14.25" customHeight="1" x14ac:dyDescent="0.3">
      <c r="A224" s="117"/>
      <c r="M224" s="123"/>
      <c r="S224" s="123"/>
    </row>
    <row r="225" spans="1:19" ht="14.25" customHeight="1" x14ac:dyDescent="0.3">
      <c r="A225" s="117"/>
      <c r="M225" s="123"/>
      <c r="S225" s="123"/>
    </row>
    <row r="226" spans="1:19" ht="14.25" customHeight="1" x14ac:dyDescent="0.3">
      <c r="A226" s="117"/>
      <c r="M226" s="123"/>
      <c r="S226" s="123"/>
    </row>
    <row r="227" spans="1:19" ht="14.25" customHeight="1" x14ac:dyDescent="0.3">
      <c r="A227" s="117"/>
      <c r="M227" s="123"/>
      <c r="S227" s="123"/>
    </row>
    <row r="228" spans="1:19" ht="14.25" customHeight="1" x14ac:dyDescent="0.3">
      <c r="A228" s="117"/>
      <c r="M228" s="123"/>
      <c r="S228" s="123"/>
    </row>
    <row r="229" spans="1:19" ht="14.25" customHeight="1" x14ac:dyDescent="0.3">
      <c r="A229" s="117"/>
      <c r="M229" s="123"/>
      <c r="S229" s="123"/>
    </row>
    <row r="230" spans="1:19" ht="14.25" customHeight="1" x14ac:dyDescent="0.3">
      <c r="A230" s="117"/>
      <c r="M230" s="123"/>
      <c r="S230" s="123"/>
    </row>
    <row r="231" spans="1:19" ht="14.25" customHeight="1" x14ac:dyDescent="0.3">
      <c r="A231" s="117"/>
      <c r="M231" s="123"/>
      <c r="S231" s="123"/>
    </row>
    <row r="232" spans="1:19" ht="14.25" customHeight="1" x14ac:dyDescent="0.3">
      <c r="A232" s="117"/>
      <c r="M232" s="123"/>
      <c r="S232" s="123"/>
    </row>
    <row r="233" spans="1:19" ht="14.25" customHeight="1" x14ac:dyDescent="0.3">
      <c r="A233" s="117"/>
      <c r="M233" s="123"/>
      <c r="S233" s="123"/>
    </row>
    <row r="234" spans="1:19" ht="14.25" customHeight="1" x14ac:dyDescent="0.3">
      <c r="A234" s="117"/>
      <c r="M234" s="123"/>
      <c r="S234" s="123"/>
    </row>
    <row r="235" spans="1:19" ht="14.25" customHeight="1" x14ac:dyDescent="0.3">
      <c r="A235" s="117"/>
      <c r="M235" s="123"/>
      <c r="S235" s="123"/>
    </row>
    <row r="236" spans="1:19" ht="14.25" customHeight="1" x14ac:dyDescent="0.3">
      <c r="A236" s="117"/>
      <c r="M236" s="123"/>
      <c r="S236" s="123"/>
    </row>
    <row r="237" spans="1:19" ht="14.25" customHeight="1" x14ac:dyDescent="0.3">
      <c r="A237" s="117"/>
      <c r="M237" s="123"/>
      <c r="S237" s="123"/>
    </row>
    <row r="238" spans="1:19" ht="14.25" customHeight="1" x14ac:dyDescent="0.3">
      <c r="A238" s="117"/>
      <c r="M238" s="123"/>
      <c r="S238" s="123"/>
    </row>
    <row r="239" spans="1:19" ht="14.25" customHeight="1" x14ac:dyDescent="0.3">
      <c r="A239" s="117"/>
      <c r="M239" s="123"/>
      <c r="S239" s="123"/>
    </row>
    <row r="240" spans="1:19" ht="14.25" customHeight="1" x14ac:dyDescent="0.3">
      <c r="A240" s="117"/>
      <c r="M240" s="123"/>
      <c r="S240" s="123"/>
    </row>
    <row r="241" spans="1:19" ht="14.25" customHeight="1" x14ac:dyDescent="0.3">
      <c r="A241" s="117"/>
      <c r="M241" s="123"/>
      <c r="S241" s="123"/>
    </row>
    <row r="242" spans="1:19" ht="14.25" customHeight="1" x14ac:dyDescent="0.3">
      <c r="A242" s="117"/>
      <c r="M242" s="123"/>
      <c r="S242" s="123"/>
    </row>
    <row r="243" spans="1:19" ht="14.25" customHeight="1" x14ac:dyDescent="0.3">
      <c r="A243" s="117"/>
      <c r="M243" s="123"/>
      <c r="S243" s="123"/>
    </row>
    <row r="244" spans="1:19" ht="14.25" customHeight="1" x14ac:dyDescent="0.3">
      <c r="A244" s="117"/>
      <c r="M244" s="123"/>
      <c r="S244" s="123"/>
    </row>
    <row r="245" spans="1:19" ht="14.25" customHeight="1" x14ac:dyDescent="0.3">
      <c r="A245" s="117"/>
      <c r="M245" s="123"/>
      <c r="S245" s="123"/>
    </row>
    <row r="246" spans="1:19" ht="14.25" customHeight="1" x14ac:dyDescent="0.3">
      <c r="A246" s="117"/>
      <c r="M246" s="123"/>
      <c r="S246" s="123"/>
    </row>
    <row r="247" spans="1:19" ht="14.25" customHeight="1" x14ac:dyDescent="0.3">
      <c r="A247" s="117"/>
      <c r="M247" s="123"/>
      <c r="S247" s="123"/>
    </row>
    <row r="248" spans="1:19" ht="14.25" customHeight="1" x14ac:dyDescent="0.3">
      <c r="A248" s="117"/>
      <c r="M248" s="123"/>
      <c r="S248" s="123"/>
    </row>
    <row r="249" spans="1:19" ht="14.25" customHeight="1" x14ac:dyDescent="0.3">
      <c r="A249" s="117"/>
      <c r="M249" s="123"/>
      <c r="S249" s="123"/>
    </row>
    <row r="250" spans="1:19" ht="14.25" customHeight="1" x14ac:dyDescent="0.3">
      <c r="A250" s="117"/>
      <c r="M250" s="123"/>
      <c r="S250" s="123"/>
    </row>
    <row r="251" spans="1:19" ht="14.25" customHeight="1" x14ac:dyDescent="0.3">
      <c r="A251" s="117"/>
      <c r="M251" s="123"/>
      <c r="S251" s="123"/>
    </row>
    <row r="252" spans="1:19" ht="14.25" customHeight="1" x14ac:dyDescent="0.3">
      <c r="A252" s="117"/>
      <c r="M252" s="123"/>
      <c r="S252" s="123"/>
    </row>
    <row r="253" spans="1:19" ht="14.25" customHeight="1" x14ac:dyDescent="0.3">
      <c r="A253" s="117"/>
      <c r="M253" s="123"/>
      <c r="S253" s="123"/>
    </row>
    <row r="254" spans="1:19" ht="14.25" customHeight="1" x14ac:dyDescent="0.3">
      <c r="A254" s="117"/>
      <c r="M254" s="123"/>
      <c r="S254" s="123"/>
    </row>
    <row r="255" spans="1:19" ht="14.25" customHeight="1" x14ac:dyDescent="0.3">
      <c r="A255" s="117"/>
      <c r="M255" s="123"/>
      <c r="S255" s="123"/>
    </row>
    <row r="256" spans="1:19" ht="14.25" customHeight="1" x14ac:dyDescent="0.3">
      <c r="A256" s="117"/>
      <c r="M256" s="123"/>
      <c r="S256" s="123"/>
    </row>
    <row r="257" spans="1:19" ht="14.25" customHeight="1" x14ac:dyDescent="0.3">
      <c r="A257" s="117"/>
      <c r="M257" s="123"/>
      <c r="S257" s="123"/>
    </row>
    <row r="258" spans="1:19" ht="14.25" customHeight="1" x14ac:dyDescent="0.3">
      <c r="A258" s="117"/>
      <c r="M258" s="123"/>
      <c r="S258" s="123"/>
    </row>
    <row r="259" spans="1:19" ht="14.25" customHeight="1" x14ac:dyDescent="0.3">
      <c r="A259" s="117"/>
      <c r="M259" s="123"/>
      <c r="S259" s="123"/>
    </row>
    <row r="260" spans="1:19" ht="14.25" customHeight="1" x14ac:dyDescent="0.3">
      <c r="A260" s="117"/>
      <c r="M260" s="123"/>
      <c r="S260" s="123"/>
    </row>
    <row r="261" spans="1:19" ht="14.25" customHeight="1" x14ac:dyDescent="0.3">
      <c r="A261" s="117"/>
      <c r="M261" s="123"/>
      <c r="S261" s="123"/>
    </row>
    <row r="262" spans="1:19" ht="14.25" customHeight="1" x14ac:dyDescent="0.3">
      <c r="A262" s="117"/>
      <c r="M262" s="123"/>
      <c r="S262" s="123"/>
    </row>
    <row r="263" spans="1:19" ht="14.25" customHeight="1" x14ac:dyDescent="0.3">
      <c r="A263" s="117"/>
      <c r="M263" s="123"/>
      <c r="S263" s="123"/>
    </row>
    <row r="264" spans="1:19" ht="14.25" customHeight="1" x14ac:dyDescent="0.3">
      <c r="A264" s="117"/>
      <c r="M264" s="123"/>
      <c r="S264" s="123"/>
    </row>
    <row r="265" spans="1:19" ht="14.25" customHeight="1" x14ac:dyDescent="0.3">
      <c r="A265" s="117"/>
      <c r="M265" s="123"/>
      <c r="S265" s="123"/>
    </row>
    <row r="266" spans="1:19" ht="14.25" customHeight="1" x14ac:dyDescent="0.3">
      <c r="A266" s="117"/>
      <c r="M266" s="123"/>
      <c r="S266" s="123"/>
    </row>
    <row r="267" spans="1:19" ht="14.25" customHeight="1" x14ac:dyDescent="0.3">
      <c r="A267" s="117"/>
      <c r="M267" s="123"/>
      <c r="S267" s="123"/>
    </row>
    <row r="268" spans="1:19" ht="14.25" customHeight="1" x14ac:dyDescent="0.3">
      <c r="A268" s="117"/>
      <c r="M268" s="123"/>
      <c r="S268" s="123"/>
    </row>
    <row r="269" spans="1:19" ht="14.25" customHeight="1" x14ac:dyDescent="0.3">
      <c r="A269" s="117"/>
      <c r="M269" s="123"/>
      <c r="S269" s="123"/>
    </row>
    <row r="270" spans="1:19" ht="14.25" customHeight="1" x14ac:dyDescent="0.3">
      <c r="A270" s="117"/>
      <c r="M270" s="123"/>
      <c r="S270" s="123"/>
    </row>
    <row r="271" spans="1:19" ht="14.25" customHeight="1" x14ac:dyDescent="0.3">
      <c r="A271" s="117"/>
      <c r="M271" s="123"/>
      <c r="S271" s="123"/>
    </row>
    <row r="272" spans="1:19" ht="14.25" customHeight="1" x14ac:dyDescent="0.3">
      <c r="A272" s="117"/>
      <c r="M272" s="123"/>
      <c r="S272" s="123"/>
    </row>
    <row r="273" spans="1:19" ht="14.25" customHeight="1" x14ac:dyDescent="0.3">
      <c r="A273" s="117"/>
      <c r="M273" s="123"/>
      <c r="S273" s="123"/>
    </row>
    <row r="274" spans="1:19" ht="14.25" customHeight="1" x14ac:dyDescent="0.3">
      <c r="A274" s="117"/>
      <c r="M274" s="123"/>
      <c r="S274" s="123"/>
    </row>
    <row r="275" spans="1:19" ht="14.25" customHeight="1" x14ac:dyDescent="0.3">
      <c r="A275" s="117"/>
      <c r="M275" s="123"/>
      <c r="S275" s="123"/>
    </row>
    <row r="276" spans="1:19" ht="14.25" customHeight="1" x14ac:dyDescent="0.3">
      <c r="A276" s="117"/>
      <c r="M276" s="123"/>
      <c r="S276" s="123"/>
    </row>
    <row r="277" spans="1:19" ht="14.25" customHeight="1" x14ac:dyDescent="0.3">
      <c r="A277" s="117"/>
      <c r="M277" s="123"/>
      <c r="S277" s="123"/>
    </row>
    <row r="278" spans="1:19" ht="14.25" customHeight="1" x14ac:dyDescent="0.3">
      <c r="A278" s="117"/>
      <c r="M278" s="123"/>
      <c r="S278" s="123"/>
    </row>
    <row r="279" spans="1:19" ht="14.25" customHeight="1" x14ac:dyDescent="0.3">
      <c r="A279" s="117"/>
      <c r="M279" s="123"/>
      <c r="S279" s="123"/>
    </row>
    <row r="280" spans="1:19" ht="14.25" customHeight="1" x14ac:dyDescent="0.3">
      <c r="A280" s="117"/>
      <c r="M280" s="123"/>
      <c r="S280" s="123"/>
    </row>
    <row r="281" spans="1:19" ht="14.25" customHeight="1" x14ac:dyDescent="0.3">
      <c r="A281" s="117"/>
      <c r="M281" s="123"/>
      <c r="S281" s="123"/>
    </row>
    <row r="282" spans="1:19" ht="14.25" customHeight="1" x14ac:dyDescent="0.3">
      <c r="A282" s="117"/>
      <c r="M282" s="123"/>
      <c r="S282" s="123"/>
    </row>
    <row r="283" spans="1:19" ht="14.25" customHeight="1" x14ac:dyDescent="0.3">
      <c r="A283" s="117"/>
      <c r="M283" s="123"/>
      <c r="S283" s="123"/>
    </row>
    <row r="284" spans="1:19" ht="14.25" customHeight="1" x14ac:dyDescent="0.3">
      <c r="A284" s="117"/>
      <c r="M284" s="123"/>
      <c r="S284" s="123"/>
    </row>
    <row r="285" spans="1:19" ht="14.25" customHeight="1" x14ac:dyDescent="0.3">
      <c r="A285" s="117"/>
      <c r="M285" s="123"/>
      <c r="S285" s="123"/>
    </row>
    <row r="286" spans="1:19" ht="14.25" customHeight="1" x14ac:dyDescent="0.3">
      <c r="A286" s="117"/>
      <c r="M286" s="123"/>
      <c r="S286" s="123"/>
    </row>
    <row r="287" spans="1:19" ht="14.25" customHeight="1" x14ac:dyDescent="0.3">
      <c r="A287" s="117"/>
      <c r="M287" s="123"/>
      <c r="S287" s="123"/>
    </row>
    <row r="288" spans="1:19" ht="14.25" customHeight="1" x14ac:dyDescent="0.3">
      <c r="A288" s="117"/>
      <c r="M288" s="123"/>
      <c r="S288" s="123"/>
    </row>
    <row r="289" spans="1:19" ht="14.25" customHeight="1" x14ac:dyDescent="0.3">
      <c r="A289" s="117"/>
      <c r="M289" s="123"/>
      <c r="S289" s="123"/>
    </row>
    <row r="290" spans="1:19" ht="14.25" customHeight="1" x14ac:dyDescent="0.3">
      <c r="A290" s="117"/>
      <c r="M290" s="123"/>
      <c r="S290" s="123"/>
    </row>
    <row r="291" spans="1:19" ht="14.25" customHeight="1" x14ac:dyDescent="0.3">
      <c r="A291" s="117"/>
      <c r="M291" s="123"/>
      <c r="S291" s="123"/>
    </row>
    <row r="292" spans="1:19" ht="14.25" customHeight="1" x14ac:dyDescent="0.3">
      <c r="A292" s="117"/>
      <c r="M292" s="123"/>
      <c r="S292" s="123"/>
    </row>
    <row r="293" spans="1:19" ht="14.25" customHeight="1" x14ac:dyDescent="0.3">
      <c r="A293" s="117"/>
      <c r="M293" s="123"/>
      <c r="S293" s="123"/>
    </row>
    <row r="294" spans="1:19" ht="14.25" customHeight="1" x14ac:dyDescent="0.3">
      <c r="A294" s="117"/>
      <c r="M294" s="123"/>
      <c r="S294" s="123"/>
    </row>
    <row r="295" spans="1:19" ht="14.25" customHeight="1" x14ac:dyDescent="0.3">
      <c r="A295" s="117"/>
      <c r="M295" s="123"/>
      <c r="S295" s="123"/>
    </row>
    <row r="296" spans="1:19" ht="14.25" customHeight="1" x14ac:dyDescent="0.3">
      <c r="A296" s="117"/>
      <c r="M296" s="123"/>
      <c r="S296" s="123"/>
    </row>
    <row r="297" spans="1:19" ht="14.25" customHeight="1" x14ac:dyDescent="0.3">
      <c r="A297" s="117"/>
      <c r="M297" s="123"/>
      <c r="S297" s="123"/>
    </row>
    <row r="298" spans="1:19" ht="14.25" customHeight="1" x14ac:dyDescent="0.3">
      <c r="A298" s="117"/>
      <c r="M298" s="123"/>
      <c r="S298" s="123"/>
    </row>
    <row r="299" spans="1:19" ht="14.25" customHeight="1" x14ac:dyDescent="0.3">
      <c r="A299" s="117"/>
      <c r="M299" s="123"/>
      <c r="S299" s="123"/>
    </row>
    <row r="300" spans="1:19" ht="14.25" customHeight="1" x14ac:dyDescent="0.3">
      <c r="A300" s="117"/>
      <c r="M300" s="123"/>
      <c r="S300" s="123"/>
    </row>
    <row r="301" spans="1:19" ht="14.25" customHeight="1" x14ac:dyDescent="0.3">
      <c r="A301" s="117"/>
      <c r="M301" s="123"/>
      <c r="S301" s="123"/>
    </row>
    <row r="302" spans="1:19" ht="14.25" customHeight="1" x14ac:dyDescent="0.3">
      <c r="A302" s="117"/>
      <c r="M302" s="123"/>
      <c r="S302" s="123"/>
    </row>
    <row r="303" spans="1:19" ht="14.25" customHeight="1" x14ac:dyDescent="0.3">
      <c r="A303" s="117"/>
      <c r="M303" s="123"/>
      <c r="S303" s="123"/>
    </row>
    <row r="304" spans="1:19" ht="14.25" customHeight="1" x14ac:dyDescent="0.3">
      <c r="A304" s="117"/>
      <c r="M304" s="123"/>
      <c r="S304" s="123"/>
    </row>
    <row r="305" spans="1:19" ht="14.25" customHeight="1" x14ac:dyDescent="0.3">
      <c r="A305" s="117"/>
      <c r="M305" s="123"/>
      <c r="S305" s="123"/>
    </row>
    <row r="306" spans="1:19" ht="14.25" customHeight="1" x14ac:dyDescent="0.3">
      <c r="A306" s="117"/>
      <c r="M306" s="123"/>
      <c r="S306" s="123"/>
    </row>
    <row r="307" spans="1:19" ht="14.25" customHeight="1" x14ac:dyDescent="0.3">
      <c r="A307" s="117"/>
      <c r="M307" s="123"/>
      <c r="S307" s="123"/>
    </row>
    <row r="308" spans="1:19" ht="14.25" customHeight="1" x14ac:dyDescent="0.3">
      <c r="A308" s="117"/>
      <c r="M308" s="123"/>
      <c r="S308" s="123"/>
    </row>
    <row r="309" spans="1:19" ht="14.25" customHeight="1" x14ac:dyDescent="0.3">
      <c r="A309" s="117"/>
      <c r="M309" s="123"/>
      <c r="S309" s="123"/>
    </row>
    <row r="310" spans="1:19" ht="14.25" customHeight="1" x14ac:dyDescent="0.3">
      <c r="A310" s="117"/>
      <c r="M310" s="123"/>
      <c r="S310" s="123"/>
    </row>
    <row r="311" spans="1:19" ht="14.25" customHeight="1" x14ac:dyDescent="0.3">
      <c r="A311" s="117"/>
      <c r="M311" s="123"/>
      <c r="S311" s="123"/>
    </row>
    <row r="312" spans="1:19" ht="14.25" customHeight="1" x14ac:dyDescent="0.3">
      <c r="A312" s="117"/>
      <c r="M312" s="123"/>
      <c r="S312" s="123"/>
    </row>
    <row r="313" spans="1:19" ht="14.25" customHeight="1" x14ac:dyDescent="0.3">
      <c r="A313" s="117"/>
      <c r="M313" s="123"/>
      <c r="S313" s="123"/>
    </row>
    <row r="314" spans="1:19" ht="14.25" customHeight="1" x14ac:dyDescent="0.3">
      <c r="A314" s="117"/>
      <c r="M314" s="123"/>
      <c r="S314" s="123"/>
    </row>
    <row r="315" spans="1:19" ht="14.25" customHeight="1" x14ac:dyDescent="0.3">
      <c r="A315" s="117"/>
      <c r="M315" s="123"/>
      <c r="S315" s="123"/>
    </row>
    <row r="316" spans="1:19" ht="14.25" customHeight="1" x14ac:dyDescent="0.3">
      <c r="A316" s="117"/>
      <c r="M316" s="123"/>
      <c r="S316" s="123"/>
    </row>
    <row r="317" spans="1:19" ht="14.25" customHeight="1" x14ac:dyDescent="0.3">
      <c r="A317" s="117"/>
      <c r="M317" s="123"/>
      <c r="S317" s="123"/>
    </row>
    <row r="318" spans="1:19" ht="14.25" customHeight="1" x14ac:dyDescent="0.3">
      <c r="A318" s="117"/>
      <c r="M318" s="123"/>
      <c r="S318" s="123"/>
    </row>
    <row r="319" spans="1:19" ht="14.25" customHeight="1" x14ac:dyDescent="0.3">
      <c r="A319" s="117"/>
      <c r="M319" s="123"/>
      <c r="S319" s="123"/>
    </row>
    <row r="320" spans="1:19" ht="14.25" customHeight="1" x14ac:dyDescent="0.3">
      <c r="A320" s="117"/>
      <c r="M320" s="123"/>
      <c r="S320" s="123"/>
    </row>
    <row r="321" spans="1:19" ht="14.25" customHeight="1" x14ac:dyDescent="0.3">
      <c r="A321" s="117"/>
      <c r="M321" s="123"/>
      <c r="S321" s="123"/>
    </row>
    <row r="322" spans="1:19" ht="14.25" customHeight="1" x14ac:dyDescent="0.3">
      <c r="A322" s="117"/>
      <c r="M322" s="123"/>
      <c r="S322" s="123"/>
    </row>
    <row r="323" spans="1:19" ht="14.25" customHeight="1" x14ac:dyDescent="0.3">
      <c r="A323" s="117"/>
      <c r="M323" s="123"/>
      <c r="S323" s="123"/>
    </row>
    <row r="324" spans="1:19" ht="14.25" customHeight="1" x14ac:dyDescent="0.3">
      <c r="A324" s="117"/>
      <c r="M324" s="123"/>
      <c r="S324" s="123"/>
    </row>
    <row r="325" spans="1:19" ht="14.25" customHeight="1" x14ac:dyDescent="0.3">
      <c r="A325" s="117"/>
      <c r="M325" s="123"/>
      <c r="S325" s="123"/>
    </row>
    <row r="326" spans="1:19" ht="14.25" customHeight="1" x14ac:dyDescent="0.3">
      <c r="A326" s="117"/>
      <c r="M326" s="123"/>
      <c r="S326" s="123"/>
    </row>
    <row r="327" spans="1:19" ht="14.25" customHeight="1" x14ac:dyDescent="0.3">
      <c r="A327" s="117"/>
      <c r="M327" s="123"/>
      <c r="S327" s="123"/>
    </row>
    <row r="328" spans="1:19" ht="14.25" customHeight="1" x14ac:dyDescent="0.3">
      <c r="A328" s="117"/>
      <c r="M328" s="123"/>
      <c r="S328" s="123"/>
    </row>
    <row r="329" spans="1:19" ht="14.25" customHeight="1" x14ac:dyDescent="0.3">
      <c r="A329" s="117"/>
      <c r="M329" s="123"/>
      <c r="S329" s="123"/>
    </row>
    <row r="330" spans="1:19" ht="14.25" customHeight="1" x14ac:dyDescent="0.3">
      <c r="A330" s="117"/>
      <c r="M330" s="123"/>
      <c r="S330" s="123"/>
    </row>
    <row r="331" spans="1:19" ht="14.25" customHeight="1" x14ac:dyDescent="0.3">
      <c r="A331" s="117"/>
      <c r="M331" s="123"/>
      <c r="S331" s="123"/>
    </row>
    <row r="332" spans="1:19" ht="14.25" customHeight="1" x14ac:dyDescent="0.3">
      <c r="A332" s="117"/>
      <c r="M332" s="123"/>
      <c r="S332" s="123"/>
    </row>
    <row r="333" spans="1:19" ht="14.25" customHeight="1" x14ac:dyDescent="0.3">
      <c r="A333" s="117"/>
      <c r="M333" s="123"/>
      <c r="S333" s="123"/>
    </row>
    <row r="334" spans="1:19" ht="14.25" customHeight="1" x14ac:dyDescent="0.3">
      <c r="A334" s="117"/>
      <c r="M334" s="123"/>
      <c r="S334" s="123"/>
    </row>
    <row r="335" spans="1:19" ht="14.25" customHeight="1" x14ac:dyDescent="0.3">
      <c r="A335" s="117"/>
      <c r="M335" s="123"/>
      <c r="S335" s="123"/>
    </row>
    <row r="336" spans="1:19" ht="14.25" customHeight="1" x14ac:dyDescent="0.3">
      <c r="A336" s="117"/>
      <c r="M336" s="123"/>
      <c r="S336" s="123"/>
    </row>
    <row r="337" spans="1:19" ht="14.25" customHeight="1" x14ac:dyDescent="0.3">
      <c r="A337" s="117"/>
      <c r="M337" s="123"/>
      <c r="S337" s="123"/>
    </row>
    <row r="338" spans="1:19" ht="14.25" customHeight="1" x14ac:dyDescent="0.3">
      <c r="A338" s="117"/>
      <c r="M338" s="123"/>
      <c r="S338" s="123"/>
    </row>
    <row r="339" spans="1:19" ht="14.25" customHeight="1" x14ac:dyDescent="0.3">
      <c r="A339" s="117"/>
      <c r="M339" s="123"/>
      <c r="S339" s="123"/>
    </row>
    <row r="340" spans="1:19" ht="14.25" customHeight="1" x14ac:dyDescent="0.3">
      <c r="A340" s="117"/>
      <c r="M340" s="123"/>
      <c r="S340" s="123"/>
    </row>
    <row r="341" spans="1:19" ht="14.25" customHeight="1" x14ac:dyDescent="0.3">
      <c r="A341" s="117"/>
      <c r="M341" s="123"/>
      <c r="S341" s="123"/>
    </row>
    <row r="342" spans="1:19" ht="14.25" customHeight="1" x14ac:dyDescent="0.3">
      <c r="A342" s="117"/>
      <c r="M342" s="123"/>
      <c r="S342" s="123"/>
    </row>
    <row r="343" spans="1:19" ht="14.25" customHeight="1" x14ac:dyDescent="0.3">
      <c r="A343" s="117"/>
      <c r="M343" s="123"/>
      <c r="S343" s="123"/>
    </row>
    <row r="344" spans="1:19" ht="14.25" customHeight="1" x14ac:dyDescent="0.3">
      <c r="A344" s="117"/>
      <c r="M344" s="123"/>
      <c r="S344" s="123"/>
    </row>
    <row r="345" spans="1:19" ht="14.25" customHeight="1" x14ac:dyDescent="0.3">
      <c r="A345" s="117"/>
      <c r="M345" s="123"/>
      <c r="S345" s="123"/>
    </row>
    <row r="346" spans="1:19" ht="14.25" customHeight="1" x14ac:dyDescent="0.3">
      <c r="A346" s="117"/>
      <c r="M346" s="123"/>
      <c r="S346" s="123"/>
    </row>
    <row r="347" spans="1:19" ht="14.25" customHeight="1" x14ac:dyDescent="0.3">
      <c r="A347" s="117"/>
      <c r="M347" s="123"/>
      <c r="S347" s="123"/>
    </row>
    <row r="348" spans="1:19" ht="14.25" customHeight="1" x14ac:dyDescent="0.3">
      <c r="A348" s="117"/>
      <c r="M348" s="123"/>
      <c r="S348" s="123"/>
    </row>
    <row r="349" spans="1:19" ht="14.25" customHeight="1" x14ac:dyDescent="0.3">
      <c r="A349" s="117"/>
      <c r="M349" s="123"/>
      <c r="S349" s="123"/>
    </row>
    <row r="350" spans="1:19" ht="14.25" customHeight="1" x14ac:dyDescent="0.3">
      <c r="A350" s="117"/>
      <c r="M350" s="123"/>
      <c r="S350" s="123"/>
    </row>
    <row r="351" spans="1:19" ht="14.25" customHeight="1" x14ac:dyDescent="0.3">
      <c r="A351" s="117"/>
      <c r="M351" s="123"/>
      <c r="S351" s="123"/>
    </row>
    <row r="352" spans="1:19" ht="14.25" customHeight="1" x14ac:dyDescent="0.3">
      <c r="A352" s="117"/>
      <c r="M352" s="123"/>
      <c r="S352" s="123"/>
    </row>
    <row r="353" spans="1:19" ht="14.25" customHeight="1" x14ac:dyDescent="0.3">
      <c r="A353" s="117"/>
      <c r="M353" s="123"/>
      <c r="S353" s="123"/>
    </row>
    <row r="354" spans="1:19" ht="14.25" customHeight="1" x14ac:dyDescent="0.3">
      <c r="A354" s="117"/>
      <c r="M354" s="123"/>
      <c r="S354" s="123"/>
    </row>
    <row r="355" spans="1:19" ht="14.25" customHeight="1" x14ac:dyDescent="0.3">
      <c r="A355" s="117"/>
      <c r="M355" s="123"/>
      <c r="S355" s="123"/>
    </row>
    <row r="356" spans="1:19" ht="14.25" customHeight="1" x14ac:dyDescent="0.3">
      <c r="A356" s="117"/>
      <c r="M356" s="123"/>
      <c r="S356" s="123"/>
    </row>
    <row r="357" spans="1:19" ht="14.25" customHeight="1" x14ac:dyDescent="0.3">
      <c r="A357" s="117"/>
      <c r="M357" s="123"/>
      <c r="S357" s="123"/>
    </row>
    <row r="358" spans="1:19" ht="14.25" customHeight="1" x14ac:dyDescent="0.3">
      <c r="A358" s="117"/>
      <c r="M358" s="123"/>
      <c r="S358" s="123"/>
    </row>
    <row r="359" spans="1:19" ht="14.25" customHeight="1" x14ac:dyDescent="0.3">
      <c r="A359" s="117"/>
      <c r="M359" s="123"/>
      <c r="S359" s="123"/>
    </row>
    <row r="360" spans="1:19" ht="14.25" customHeight="1" x14ac:dyDescent="0.3">
      <c r="A360" s="117"/>
      <c r="M360" s="123"/>
      <c r="S360" s="123"/>
    </row>
    <row r="361" spans="1:19" ht="14.25" customHeight="1" x14ac:dyDescent="0.3">
      <c r="A361" s="117"/>
      <c r="M361" s="123"/>
      <c r="S361" s="123"/>
    </row>
    <row r="362" spans="1:19" ht="14.25" customHeight="1" x14ac:dyDescent="0.3">
      <c r="A362" s="117"/>
      <c r="M362" s="123"/>
      <c r="S362" s="123"/>
    </row>
    <row r="363" spans="1:19" ht="14.25" customHeight="1" x14ac:dyDescent="0.3">
      <c r="A363" s="117"/>
      <c r="M363" s="123"/>
      <c r="S363" s="123"/>
    </row>
    <row r="364" spans="1:19" ht="14.25" customHeight="1" x14ac:dyDescent="0.3">
      <c r="A364" s="117"/>
      <c r="M364" s="123"/>
      <c r="S364" s="123"/>
    </row>
    <row r="365" spans="1:19" ht="14.25" customHeight="1" x14ac:dyDescent="0.3">
      <c r="A365" s="117"/>
      <c r="M365" s="123"/>
      <c r="S365" s="123"/>
    </row>
    <row r="366" spans="1:19" ht="14.25" customHeight="1" x14ac:dyDescent="0.3">
      <c r="A366" s="117"/>
      <c r="M366" s="123"/>
      <c r="S366" s="123"/>
    </row>
    <row r="367" spans="1:19" ht="14.25" customHeight="1" x14ac:dyDescent="0.3">
      <c r="A367" s="117"/>
      <c r="M367" s="123"/>
      <c r="S367" s="123"/>
    </row>
    <row r="368" spans="1:19" ht="14.25" customHeight="1" x14ac:dyDescent="0.3">
      <c r="A368" s="117"/>
      <c r="M368" s="123"/>
      <c r="S368" s="123"/>
    </row>
    <row r="369" spans="1:19" ht="14.25" customHeight="1" x14ac:dyDescent="0.3">
      <c r="A369" s="117"/>
      <c r="M369" s="123"/>
      <c r="S369" s="123"/>
    </row>
    <row r="370" spans="1:19" ht="14.25" customHeight="1" x14ac:dyDescent="0.3">
      <c r="A370" s="117"/>
      <c r="M370" s="123"/>
      <c r="S370" s="123"/>
    </row>
    <row r="371" spans="1:19" ht="14.25" customHeight="1" x14ac:dyDescent="0.3">
      <c r="A371" s="117"/>
      <c r="M371" s="123"/>
      <c r="S371" s="123"/>
    </row>
    <row r="372" spans="1:19" ht="14.25" customHeight="1" x14ac:dyDescent="0.3">
      <c r="A372" s="117"/>
      <c r="M372" s="123"/>
      <c r="S372" s="123"/>
    </row>
    <row r="373" spans="1:19" ht="14.25" customHeight="1" x14ac:dyDescent="0.3">
      <c r="A373" s="117"/>
      <c r="M373" s="123"/>
      <c r="S373" s="123"/>
    </row>
    <row r="374" spans="1:19" ht="14.25" customHeight="1" x14ac:dyDescent="0.3">
      <c r="A374" s="117"/>
      <c r="M374" s="123"/>
      <c r="S374" s="123"/>
    </row>
    <row r="375" spans="1:19" ht="14.25" customHeight="1" x14ac:dyDescent="0.3">
      <c r="A375" s="117"/>
      <c r="M375" s="123"/>
      <c r="S375" s="123"/>
    </row>
    <row r="376" spans="1:19" ht="14.25" customHeight="1" x14ac:dyDescent="0.3">
      <c r="A376" s="117"/>
      <c r="M376" s="123"/>
      <c r="S376" s="123"/>
    </row>
    <row r="377" spans="1:19" ht="14.25" customHeight="1" x14ac:dyDescent="0.3">
      <c r="A377" s="117"/>
      <c r="M377" s="123"/>
      <c r="S377" s="123"/>
    </row>
    <row r="378" spans="1:19" ht="14.25" customHeight="1" x14ac:dyDescent="0.3">
      <c r="A378" s="117"/>
      <c r="M378" s="123"/>
      <c r="S378" s="123"/>
    </row>
    <row r="379" spans="1:19" ht="14.25" customHeight="1" x14ac:dyDescent="0.3">
      <c r="A379" s="117"/>
      <c r="M379" s="123"/>
      <c r="S379" s="123"/>
    </row>
    <row r="380" spans="1:19" ht="14.25" customHeight="1" x14ac:dyDescent="0.3">
      <c r="A380" s="117"/>
      <c r="M380" s="123"/>
      <c r="S380" s="123"/>
    </row>
    <row r="381" spans="1:19" ht="14.25" customHeight="1" x14ac:dyDescent="0.3">
      <c r="A381" s="117"/>
      <c r="M381" s="123"/>
      <c r="S381" s="123"/>
    </row>
    <row r="382" spans="1:19" ht="14.25" customHeight="1" x14ac:dyDescent="0.3">
      <c r="A382" s="117"/>
      <c r="M382" s="123"/>
      <c r="S382" s="123"/>
    </row>
    <row r="383" spans="1:19" ht="14.25" customHeight="1" x14ac:dyDescent="0.3">
      <c r="A383" s="117"/>
      <c r="M383" s="123"/>
      <c r="S383" s="123"/>
    </row>
    <row r="384" spans="1:19" ht="14.25" customHeight="1" x14ac:dyDescent="0.3">
      <c r="A384" s="117"/>
      <c r="M384" s="123"/>
      <c r="S384" s="123"/>
    </row>
    <row r="385" spans="1:19" ht="14.25" customHeight="1" x14ac:dyDescent="0.3">
      <c r="A385" s="117"/>
      <c r="M385" s="123"/>
      <c r="S385" s="123"/>
    </row>
    <row r="386" spans="1:19" ht="14.25" customHeight="1" x14ac:dyDescent="0.3">
      <c r="A386" s="117"/>
      <c r="M386" s="123"/>
      <c r="S386" s="123"/>
    </row>
    <row r="387" spans="1:19" ht="14.25" customHeight="1" x14ac:dyDescent="0.3">
      <c r="A387" s="117"/>
      <c r="M387" s="123"/>
      <c r="S387" s="123"/>
    </row>
    <row r="388" spans="1:19" ht="14.25" customHeight="1" x14ac:dyDescent="0.3">
      <c r="A388" s="117"/>
      <c r="M388" s="123"/>
      <c r="S388" s="123"/>
    </row>
    <row r="389" spans="1:19" ht="14.25" customHeight="1" x14ac:dyDescent="0.3">
      <c r="A389" s="117"/>
      <c r="M389" s="123"/>
      <c r="S389" s="123"/>
    </row>
    <row r="390" spans="1:19" ht="14.25" customHeight="1" x14ac:dyDescent="0.3">
      <c r="A390" s="117"/>
      <c r="M390" s="123"/>
      <c r="S390" s="123"/>
    </row>
    <row r="391" spans="1:19" ht="14.25" customHeight="1" x14ac:dyDescent="0.3">
      <c r="A391" s="117"/>
      <c r="M391" s="123"/>
      <c r="S391" s="123"/>
    </row>
    <row r="392" spans="1:19" ht="14.25" customHeight="1" x14ac:dyDescent="0.3">
      <c r="A392" s="117"/>
      <c r="M392" s="123"/>
      <c r="S392" s="123"/>
    </row>
    <row r="393" spans="1:19" ht="14.25" customHeight="1" x14ac:dyDescent="0.3">
      <c r="A393" s="117"/>
      <c r="M393" s="123"/>
      <c r="S393" s="123"/>
    </row>
    <row r="394" spans="1:19" ht="14.25" customHeight="1" x14ac:dyDescent="0.3">
      <c r="A394" s="117"/>
      <c r="M394" s="123"/>
      <c r="S394" s="123"/>
    </row>
    <row r="395" spans="1:19" ht="14.25" customHeight="1" x14ac:dyDescent="0.3">
      <c r="A395" s="117"/>
      <c r="M395" s="123"/>
      <c r="S395" s="123"/>
    </row>
    <row r="396" spans="1:19" ht="14.25" customHeight="1" x14ac:dyDescent="0.3">
      <c r="A396" s="117"/>
      <c r="M396" s="123"/>
      <c r="S396" s="123"/>
    </row>
    <row r="397" spans="1:19" ht="14.25" customHeight="1" x14ac:dyDescent="0.3">
      <c r="A397" s="117"/>
      <c r="M397" s="123"/>
      <c r="S397" s="123"/>
    </row>
    <row r="398" spans="1:19" ht="14.25" customHeight="1" x14ac:dyDescent="0.3">
      <c r="A398" s="117"/>
      <c r="M398" s="123"/>
      <c r="S398" s="123"/>
    </row>
    <row r="399" spans="1:19" ht="14.25" customHeight="1" x14ac:dyDescent="0.3">
      <c r="A399" s="117"/>
      <c r="M399" s="123"/>
      <c r="S399" s="123"/>
    </row>
    <row r="400" spans="1:19" ht="14.25" customHeight="1" x14ac:dyDescent="0.3">
      <c r="A400" s="117"/>
      <c r="M400" s="123"/>
      <c r="S400" s="123"/>
    </row>
    <row r="401" spans="1:19" ht="14.25" customHeight="1" x14ac:dyDescent="0.3">
      <c r="A401" s="117"/>
      <c r="M401" s="123"/>
      <c r="S401" s="123"/>
    </row>
    <row r="402" spans="1:19" ht="14.25" customHeight="1" x14ac:dyDescent="0.3">
      <c r="A402" s="117"/>
      <c r="M402" s="123"/>
      <c r="S402" s="123"/>
    </row>
    <row r="403" spans="1:19" ht="14.25" customHeight="1" x14ac:dyDescent="0.3">
      <c r="A403" s="117"/>
      <c r="M403" s="123"/>
      <c r="S403" s="123"/>
    </row>
    <row r="404" spans="1:19" ht="14.25" customHeight="1" x14ac:dyDescent="0.3">
      <c r="A404" s="117"/>
      <c r="M404" s="123"/>
      <c r="S404" s="123"/>
    </row>
    <row r="405" spans="1:19" ht="14.25" customHeight="1" x14ac:dyDescent="0.3">
      <c r="A405" s="117"/>
      <c r="M405" s="123"/>
      <c r="S405" s="123"/>
    </row>
    <row r="406" spans="1:19" ht="14.25" customHeight="1" x14ac:dyDescent="0.3">
      <c r="A406" s="117"/>
      <c r="M406" s="123"/>
      <c r="S406" s="123"/>
    </row>
    <row r="407" spans="1:19" ht="14.25" customHeight="1" x14ac:dyDescent="0.3">
      <c r="A407" s="117"/>
      <c r="M407" s="123"/>
      <c r="S407" s="123"/>
    </row>
    <row r="408" spans="1:19" ht="14.25" customHeight="1" x14ac:dyDescent="0.3">
      <c r="A408" s="117"/>
      <c r="M408" s="123"/>
      <c r="S408" s="123"/>
    </row>
    <row r="409" spans="1:19" ht="14.25" customHeight="1" x14ac:dyDescent="0.3">
      <c r="A409" s="117"/>
      <c r="M409" s="123"/>
      <c r="S409" s="123"/>
    </row>
    <row r="410" spans="1:19" ht="14.25" customHeight="1" x14ac:dyDescent="0.3">
      <c r="A410" s="117"/>
      <c r="M410" s="123"/>
      <c r="S410" s="123"/>
    </row>
    <row r="411" spans="1:19" ht="14.25" customHeight="1" x14ac:dyDescent="0.3">
      <c r="A411" s="117"/>
      <c r="M411" s="123"/>
      <c r="S411" s="123"/>
    </row>
    <row r="412" spans="1:19" ht="14.25" customHeight="1" x14ac:dyDescent="0.3">
      <c r="A412" s="117"/>
      <c r="M412" s="123"/>
      <c r="S412" s="123"/>
    </row>
    <row r="413" spans="1:19" ht="14.25" customHeight="1" x14ac:dyDescent="0.3">
      <c r="A413" s="117"/>
      <c r="M413" s="123"/>
      <c r="S413" s="123"/>
    </row>
    <row r="414" spans="1:19" ht="14.25" customHeight="1" x14ac:dyDescent="0.3">
      <c r="A414" s="117"/>
      <c r="M414" s="123"/>
      <c r="S414" s="123"/>
    </row>
    <row r="415" spans="1:19" ht="14.25" customHeight="1" x14ac:dyDescent="0.3">
      <c r="A415" s="117"/>
      <c r="M415" s="123"/>
      <c r="S415" s="123"/>
    </row>
    <row r="416" spans="1:19" ht="14.25" customHeight="1" x14ac:dyDescent="0.3">
      <c r="A416" s="117"/>
      <c r="M416" s="123"/>
      <c r="S416" s="123"/>
    </row>
    <row r="417" spans="1:19" ht="14.25" customHeight="1" x14ac:dyDescent="0.3">
      <c r="A417" s="117"/>
      <c r="M417" s="123"/>
      <c r="S417" s="123"/>
    </row>
    <row r="418" spans="1:19" ht="14.25" customHeight="1" x14ac:dyDescent="0.3">
      <c r="A418" s="117"/>
      <c r="M418" s="123"/>
      <c r="S418" s="123"/>
    </row>
    <row r="419" spans="1:19" ht="14.25" customHeight="1" x14ac:dyDescent="0.3">
      <c r="A419" s="117"/>
      <c r="M419" s="123"/>
      <c r="S419" s="123"/>
    </row>
    <row r="420" spans="1:19" ht="14.25" customHeight="1" x14ac:dyDescent="0.3">
      <c r="A420" s="117"/>
      <c r="M420" s="123"/>
      <c r="S420" s="123"/>
    </row>
    <row r="421" spans="1:19" ht="14.25" customHeight="1" x14ac:dyDescent="0.3">
      <c r="A421" s="117"/>
      <c r="M421" s="123"/>
      <c r="S421" s="123"/>
    </row>
    <row r="422" spans="1:19" ht="14.25" customHeight="1" x14ac:dyDescent="0.3">
      <c r="A422" s="117"/>
      <c r="M422" s="123"/>
      <c r="S422" s="123"/>
    </row>
    <row r="423" spans="1:19" ht="14.25" customHeight="1" x14ac:dyDescent="0.3">
      <c r="A423" s="117"/>
      <c r="M423" s="123"/>
      <c r="S423" s="123"/>
    </row>
    <row r="424" spans="1:19" ht="14.25" customHeight="1" x14ac:dyDescent="0.3">
      <c r="A424" s="117"/>
      <c r="M424" s="123"/>
      <c r="S424" s="123"/>
    </row>
    <row r="425" spans="1:19" ht="14.25" customHeight="1" x14ac:dyDescent="0.3">
      <c r="A425" s="117"/>
      <c r="M425" s="123"/>
      <c r="S425" s="123"/>
    </row>
    <row r="426" spans="1:19" ht="14.25" customHeight="1" x14ac:dyDescent="0.3">
      <c r="A426" s="117"/>
      <c r="M426" s="123"/>
      <c r="S426" s="123"/>
    </row>
    <row r="427" spans="1:19" ht="14.25" customHeight="1" x14ac:dyDescent="0.3">
      <c r="A427" s="117"/>
      <c r="M427" s="123"/>
      <c r="S427" s="123"/>
    </row>
    <row r="428" spans="1:19" ht="14.25" customHeight="1" x14ac:dyDescent="0.3">
      <c r="A428" s="117"/>
      <c r="M428" s="123"/>
      <c r="S428" s="123"/>
    </row>
    <row r="429" spans="1:19" ht="14.25" customHeight="1" x14ac:dyDescent="0.3">
      <c r="A429" s="117"/>
      <c r="M429" s="123"/>
      <c r="S429" s="123"/>
    </row>
    <row r="430" spans="1:19" ht="14.25" customHeight="1" x14ac:dyDescent="0.3">
      <c r="A430" s="117"/>
      <c r="M430" s="123"/>
      <c r="S430" s="123"/>
    </row>
    <row r="431" spans="1:19" ht="14.25" customHeight="1" x14ac:dyDescent="0.3">
      <c r="A431" s="117"/>
      <c r="M431" s="123"/>
      <c r="S431" s="123"/>
    </row>
    <row r="432" spans="1:19" ht="14.25" customHeight="1" x14ac:dyDescent="0.3">
      <c r="A432" s="117"/>
      <c r="M432" s="123"/>
      <c r="S432" s="123"/>
    </row>
    <row r="433" spans="1:19" ht="14.25" customHeight="1" x14ac:dyDescent="0.3">
      <c r="A433" s="117"/>
      <c r="M433" s="123"/>
      <c r="S433" s="123"/>
    </row>
    <row r="434" spans="1:19" ht="14.25" customHeight="1" x14ac:dyDescent="0.3">
      <c r="A434" s="117"/>
      <c r="M434" s="123"/>
      <c r="S434" s="123"/>
    </row>
    <row r="435" spans="1:19" ht="14.25" customHeight="1" x14ac:dyDescent="0.3">
      <c r="A435" s="117"/>
      <c r="M435" s="123"/>
      <c r="S435" s="123"/>
    </row>
    <row r="436" spans="1:19" ht="14.25" customHeight="1" x14ac:dyDescent="0.3">
      <c r="A436" s="117"/>
      <c r="M436" s="123"/>
      <c r="S436" s="123"/>
    </row>
    <row r="437" spans="1:19" ht="14.25" customHeight="1" x14ac:dyDescent="0.3">
      <c r="A437" s="117"/>
      <c r="M437" s="123"/>
      <c r="S437" s="123"/>
    </row>
    <row r="438" spans="1:19" ht="14.25" customHeight="1" x14ac:dyDescent="0.3">
      <c r="A438" s="117"/>
      <c r="M438" s="123"/>
      <c r="S438" s="123"/>
    </row>
    <row r="439" spans="1:19" ht="14.25" customHeight="1" x14ac:dyDescent="0.3">
      <c r="A439" s="117"/>
      <c r="M439" s="123"/>
      <c r="S439" s="123"/>
    </row>
    <row r="440" spans="1:19" ht="14.25" customHeight="1" x14ac:dyDescent="0.3">
      <c r="A440" s="117"/>
      <c r="M440" s="123"/>
      <c r="S440" s="123"/>
    </row>
    <row r="441" spans="1:19" ht="14.25" customHeight="1" x14ac:dyDescent="0.3">
      <c r="A441" s="117"/>
      <c r="M441" s="123"/>
      <c r="S441" s="123"/>
    </row>
    <row r="442" spans="1:19" ht="14.25" customHeight="1" x14ac:dyDescent="0.3">
      <c r="A442" s="117"/>
      <c r="M442" s="123"/>
      <c r="S442" s="123"/>
    </row>
    <row r="443" spans="1:19" ht="14.25" customHeight="1" x14ac:dyDescent="0.3">
      <c r="A443" s="117"/>
      <c r="M443" s="123"/>
      <c r="S443" s="123"/>
    </row>
    <row r="444" spans="1:19" ht="14.25" customHeight="1" x14ac:dyDescent="0.3">
      <c r="A444" s="117"/>
      <c r="M444" s="123"/>
      <c r="S444" s="123"/>
    </row>
    <row r="445" spans="1:19" ht="14.25" customHeight="1" x14ac:dyDescent="0.3">
      <c r="A445" s="117"/>
      <c r="M445" s="123"/>
      <c r="S445" s="123"/>
    </row>
    <row r="446" spans="1:19" ht="14.25" customHeight="1" x14ac:dyDescent="0.3">
      <c r="A446" s="117"/>
      <c r="M446" s="123"/>
      <c r="S446" s="123"/>
    </row>
    <row r="447" spans="1:19" ht="14.25" customHeight="1" x14ac:dyDescent="0.3">
      <c r="A447" s="117"/>
      <c r="M447" s="123"/>
      <c r="S447" s="123"/>
    </row>
    <row r="448" spans="1:19" ht="14.25" customHeight="1" x14ac:dyDescent="0.3">
      <c r="A448" s="117"/>
      <c r="M448" s="123"/>
      <c r="S448" s="123"/>
    </row>
    <row r="449" spans="1:19" ht="14.25" customHeight="1" x14ac:dyDescent="0.3">
      <c r="A449" s="117"/>
      <c r="M449" s="123"/>
      <c r="S449" s="123"/>
    </row>
    <row r="450" spans="1:19" ht="14.25" customHeight="1" x14ac:dyDescent="0.3">
      <c r="A450" s="117"/>
      <c r="M450" s="123"/>
      <c r="S450" s="123"/>
    </row>
    <row r="451" spans="1:19" ht="14.25" customHeight="1" x14ac:dyDescent="0.3">
      <c r="A451" s="117"/>
      <c r="M451" s="123"/>
      <c r="S451" s="123"/>
    </row>
    <row r="452" spans="1:19" ht="14.25" customHeight="1" x14ac:dyDescent="0.3">
      <c r="A452" s="117"/>
      <c r="M452" s="123"/>
      <c r="S452" s="123"/>
    </row>
    <row r="453" spans="1:19" ht="14.25" customHeight="1" x14ac:dyDescent="0.3">
      <c r="A453" s="117"/>
      <c r="M453" s="123"/>
      <c r="S453" s="123"/>
    </row>
    <row r="454" spans="1:19" ht="14.25" customHeight="1" x14ac:dyDescent="0.3">
      <c r="A454" s="117"/>
      <c r="M454" s="123"/>
      <c r="S454" s="123"/>
    </row>
    <row r="455" spans="1:19" ht="14.25" customHeight="1" x14ac:dyDescent="0.3">
      <c r="A455" s="117"/>
      <c r="M455" s="123"/>
      <c r="S455" s="123"/>
    </row>
    <row r="456" spans="1:19" ht="14.25" customHeight="1" x14ac:dyDescent="0.3">
      <c r="A456" s="117"/>
      <c r="M456" s="123"/>
      <c r="S456" s="123"/>
    </row>
    <row r="457" spans="1:19" ht="14.25" customHeight="1" x14ac:dyDescent="0.3">
      <c r="A457" s="117"/>
      <c r="M457" s="123"/>
      <c r="S457" s="123"/>
    </row>
    <row r="458" spans="1:19" ht="14.25" customHeight="1" x14ac:dyDescent="0.3">
      <c r="A458" s="117"/>
      <c r="M458" s="123"/>
      <c r="S458" s="123"/>
    </row>
    <row r="459" spans="1:19" ht="14.25" customHeight="1" x14ac:dyDescent="0.3">
      <c r="A459" s="117"/>
      <c r="M459" s="123"/>
      <c r="S459" s="123"/>
    </row>
    <row r="460" spans="1:19" ht="14.25" customHeight="1" x14ac:dyDescent="0.3">
      <c r="A460" s="117"/>
      <c r="M460" s="123"/>
      <c r="S460" s="123"/>
    </row>
    <row r="461" spans="1:19" ht="14.25" customHeight="1" x14ac:dyDescent="0.3">
      <c r="A461" s="117"/>
      <c r="M461" s="123"/>
      <c r="S461" s="123"/>
    </row>
    <row r="462" spans="1:19" ht="14.25" customHeight="1" x14ac:dyDescent="0.3">
      <c r="A462" s="117"/>
      <c r="M462" s="123"/>
      <c r="S462" s="123"/>
    </row>
    <row r="463" spans="1:19" ht="14.25" customHeight="1" x14ac:dyDescent="0.3">
      <c r="A463" s="117"/>
      <c r="M463" s="123"/>
      <c r="S463" s="123"/>
    </row>
    <row r="464" spans="1:19" ht="14.25" customHeight="1" x14ac:dyDescent="0.3">
      <c r="A464" s="117"/>
      <c r="M464" s="123"/>
      <c r="S464" s="123"/>
    </row>
    <row r="465" spans="1:19" ht="14.25" customHeight="1" x14ac:dyDescent="0.3">
      <c r="A465" s="117"/>
      <c r="M465" s="123"/>
      <c r="S465" s="123"/>
    </row>
    <row r="466" spans="1:19" ht="14.25" customHeight="1" x14ac:dyDescent="0.3">
      <c r="A466" s="117"/>
      <c r="M466" s="123"/>
      <c r="S466" s="123"/>
    </row>
    <row r="467" spans="1:19" ht="14.25" customHeight="1" x14ac:dyDescent="0.3">
      <c r="A467" s="117"/>
      <c r="M467" s="123"/>
      <c r="S467" s="123"/>
    </row>
    <row r="468" spans="1:19" ht="14.25" customHeight="1" x14ac:dyDescent="0.3">
      <c r="A468" s="117"/>
      <c r="M468" s="123"/>
      <c r="S468" s="123"/>
    </row>
    <row r="469" spans="1:19" ht="14.25" customHeight="1" x14ac:dyDescent="0.3">
      <c r="A469" s="117"/>
      <c r="M469" s="123"/>
      <c r="S469" s="123"/>
    </row>
    <row r="470" spans="1:19" ht="14.25" customHeight="1" x14ac:dyDescent="0.3">
      <c r="A470" s="117"/>
      <c r="M470" s="123"/>
      <c r="S470" s="123"/>
    </row>
    <row r="471" spans="1:19" ht="14.25" customHeight="1" x14ac:dyDescent="0.3">
      <c r="A471" s="117"/>
      <c r="M471" s="123"/>
      <c r="S471" s="123"/>
    </row>
    <row r="472" spans="1:19" ht="14.25" customHeight="1" x14ac:dyDescent="0.3">
      <c r="A472" s="117"/>
      <c r="M472" s="123"/>
      <c r="S472" s="123"/>
    </row>
    <row r="473" spans="1:19" ht="14.25" customHeight="1" x14ac:dyDescent="0.3">
      <c r="A473" s="117"/>
      <c r="M473" s="123"/>
      <c r="S473" s="123"/>
    </row>
    <row r="474" spans="1:19" ht="14.25" customHeight="1" x14ac:dyDescent="0.3">
      <c r="A474" s="117"/>
      <c r="M474" s="123"/>
      <c r="S474" s="123"/>
    </row>
    <row r="475" spans="1:19" ht="14.25" customHeight="1" x14ac:dyDescent="0.3">
      <c r="A475" s="117"/>
      <c r="M475" s="123"/>
      <c r="S475" s="123"/>
    </row>
    <row r="476" spans="1:19" ht="14.25" customHeight="1" x14ac:dyDescent="0.3">
      <c r="A476" s="117"/>
      <c r="M476" s="123"/>
      <c r="S476" s="123"/>
    </row>
    <row r="477" spans="1:19" ht="14.25" customHeight="1" x14ac:dyDescent="0.3">
      <c r="A477" s="117"/>
      <c r="M477" s="123"/>
      <c r="S477" s="123"/>
    </row>
    <row r="478" spans="1:19" ht="14.25" customHeight="1" x14ac:dyDescent="0.3">
      <c r="A478" s="117"/>
      <c r="M478" s="123"/>
      <c r="S478" s="123"/>
    </row>
    <row r="479" spans="1:19" ht="14.25" customHeight="1" x14ac:dyDescent="0.3">
      <c r="A479" s="117"/>
      <c r="M479" s="123"/>
      <c r="S479" s="123"/>
    </row>
    <row r="480" spans="1:19" ht="14.25" customHeight="1" x14ac:dyDescent="0.3">
      <c r="A480" s="117"/>
      <c r="M480" s="123"/>
      <c r="S480" s="123"/>
    </row>
    <row r="481" spans="1:19" ht="14.25" customHeight="1" x14ac:dyDescent="0.3">
      <c r="A481" s="117"/>
      <c r="M481" s="123"/>
      <c r="S481" s="123"/>
    </row>
    <row r="482" spans="1:19" ht="14.25" customHeight="1" x14ac:dyDescent="0.3">
      <c r="A482" s="117"/>
      <c r="M482" s="123"/>
      <c r="S482" s="123"/>
    </row>
    <row r="483" spans="1:19" ht="14.25" customHeight="1" x14ac:dyDescent="0.3">
      <c r="A483" s="117"/>
      <c r="M483" s="123"/>
      <c r="S483" s="123"/>
    </row>
    <row r="484" spans="1:19" ht="14.25" customHeight="1" x14ac:dyDescent="0.3">
      <c r="A484" s="117"/>
      <c r="M484" s="123"/>
      <c r="S484" s="123"/>
    </row>
    <row r="485" spans="1:19" ht="14.25" customHeight="1" x14ac:dyDescent="0.3">
      <c r="A485" s="117"/>
      <c r="M485" s="123"/>
      <c r="S485" s="123"/>
    </row>
    <row r="486" spans="1:19" ht="14.25" customHeight="1" x14ac:dyDescent="0.3">
      <c r="A486" s="117"/>
      <c r="M486" s="123"/>
      <c r="S486" s="123"/>
    </row>
    <row r="487" spans="1:19" ht="14.25" customHeight="1" x14ac:dyDescent="0.3">
      <c r="A487" s="117"/>
      <c r="M487" s="123"/>
      <c r="S487" s="123"/>
    </row>
    <row r="488" spans="1:19" ht="14.25" customHeight="1" x14ac:dyDescent="0.3">
      <c r="A488" s="117"/>
      <c r="M488" s="123"/>
      <c r="S488" s="123"/>
    </row>
    <row r="489" spans="1:19" ht="14.25" customHeight="1" x14ac:dyDescent="0.3">
      <c r="A489" s="117"/>
      <c r="M489" s="123"/>
      <c r="S489" s="123"/>
    </row>
    <row r="490" spans="1:19" ht="14.25" customHeight="1" x14ac:dyDescent="0.3">
      <c r="A490" s="117"/>
      <c r="M490" s="123"/>
      <c r="S490" s="123"/>
    </row>
    <row r="491" spans="1:19" ht="14.25" customHeight="1" x14ac:dyDescent="0.3">
      <c r="A491" s="117"/>
      <c r="M491" s="123"/>
      <c r="S491" s="123"/>
    </row>
    <row r="492" spans="1:19" ht="14.25" customHeight="1" x14ac:dyDescent="0.3">
      <c r="A492" s="117"/>
      <c r="M492" s="123"/>
      <c r="S492" s="123"/>
    </row>
    <row r="493" spans="1:19" ht="14.25" customHeight="1" x14ac:dyDescent="0.3">
      <c r="A493" s="117"/>
      <c r="M493" s="123"/>
      <c r="S493" s="123"/>
    </row>
    <row r="494" spans="1:19" ht="14.25" customHeight="1" x14ac:dyDescent="0.3">
      <c r="A494" s="117"/>
      <c r="M494" s="123"/>
      <c r="S494" s="123"/>
    </row>
    <row r="495" spans="1:19" ht="14.25" customHeight="1" x14ac:dyDescent="0.3">
      <c r="A495" s="117"/>
      <c r="M495" s="123"/>
      <c r="S495" s="123"/>
    </row>
    <row r="496" spans="1:19" ht="14.25" customHeight="1" x14ac:dyDescent="0.3">
      <c r="A496" s="117"/>
      <c r="M496" s="123"/>
      <c r="S496" s="123"/>
    </row>
    <row r="497" spans="1:19" ht="14.25" customHeight="1" x14ac:dyDescent="0.3">
      <c r="A497" s="117"/>
      <c r="M497" s="123"/>
      <c r="S497" s="123"/>
    </row>
    <row r="498" spans="1:19" ht="14.25" customHeight="1" x14ac:dyDescent="0.3">
      <c r="A498" s="117"/>
      <c r="M498" s="123"/>
      <c r="S498" s="123"/>
    </row>
    <row r="499" spans="1:19" ht="14.25" customHeight="1" x14ac:dyDescent="0.3">
      <c r="A499" s="117"/>
      <c r="M499" s="123"/>
      <c r="S499" s="123"/>
    </row>
    <row r="500" spans="1:19" ht="14.25" customHeight="1" x14ac:dyDescent="0.3">
      <c r="A500" s="117"/>
      <c r="M500" s="123"/>
      <c r="S500" s="123"/>
    </row>
    <row r="501" spans="1:19" ht="14.25" customHeight="1" x14ac:dyDescent="0.3">
      <c r="A501" s="117"/>
      <c r="M501" s="123"/>
      <c r="S501" s="123"/>
    </row>
    <row r="502" spans="1:19" ht="14.25" customHeight="1" x14ac:dyDescent="0.3">
      <c r="A502" s="117"/>
      <c r="M502" s="123"/>
      <c r="S502" s="123"/>
    </row>
    <row r="503" spans="1:19" ht="14.25" customHeight="1" x14ac:dyDescent="0.3">
      <c r="A503" s="117"/>
      <c r="M503" s="123"/>
      <c r="S503" s="123"/>
    </row>
    <row r="504" spans="1:19" ht="14.25" customHeight="1" x14ac:dyDescent="0.3">
      <c r="A504" s="117"/>
      <c r="M504" s="123"/>
      <c r="S504" s="123"/>
    </row>
    <row r="505" spans="1:19" ht="14.25" customHeight="1" x14ac:dyDescent="0.3">
      <c r="A505" s="117"/>
      <c r="M505" s="123"/>
      <c r="S505" s="123"/>
    </row>
    <row r="506" spans="1:19" ht="14.25" customHeight="1" x14ac:dyDescent="0.3">
      <c r="A506" s="117"/>
      <c r="M506" s="123"/>
      <c r="S506" s="123"/>
    </row>
    <row r="507" spans="1:19" ht="14.25" customHeight="1" x14ac:dyDescent="0.3">
      <c r="A507" s="117"/>
      <c r="M507" s="123"/>
      <c r="S507" s="123"/>
    </row>
    <row r="508" spans="1:19" ht="14.25" customHeight="1" x14ac:dyDescent="0.3">
      <c r="A508" s="117"/>
      <c r="M508" s="123"/>
      <c r="S508" s="123"/>
    </row>
    <row r="509" spans="1:19" ht="14.25" customHeight="1" x14ac:dyDescent="0.3">
      <c r="A509" s="117"/>
      <c r="M509" s="123"/>
      <c r="S509" s="123"/>
    </row>
    <row r="510" spans="1:19" ht="14.25" customHeight="1" x14ac:dyDescent="0.3">
      <c r="A510" s="117"/>
      <c r="M510" s="123"/>
      <c r="S510" s="123"/>
    </row>
    <row r="511" spans="1:19" ht="14.25" customHeight="1" x14ac:dyDescent="0.3">
      <c r="A511" s="117"/>
      <c r="M511" s="123"/>
      <c r="S511" s="123"/>
    </row>
    <row r="512" spans="1:19" ht="14.25" customHeight="1" x14ac:dyDescent="0.3">
      <c r="A512" s="117"/>
      <c r="M512" s="123"/>
      <c r="S512" s="123"/>
    </row>
    <row r="513" spans="1:19" ht="14.25" customHeight="1" x14ac:dyDescent="0.3">
      <c r="A513" s="117"/>
      <c r="M513" s="123"/>
      <c r="S513" s="123"/>
    </row>
    <row r="514" spans="1:19" ht="14.25" customHeight="1" x14ac:dyDescent="0.3">
      <c r="A514" s="117"/>
      <c r="M514" s="123"/>
      <c r="S514" s="123"/>
    </row>
    <row r="515" spans="1:19" ht="14.25" customHeight="1" x14ac:dyDescent="0.3">
      <c r="A515" s="117"/>
      <c r="M515" s="123"/>
      <c r="S515" s="123"/>
    </row>
    <row r="516" spans="1:19" ht="14.25" customHeight="1" x14ac:dyDescent="0.3">
      <c r="A516" s="117"/>
      <c r="M516" s="123"/>
      <c r="S516" s="123"/>
    </row>
    <row r="517" spans="1:19" ht="14.25" customHeight="1" x14ac:dyDescent="0.3">
      <c r="A517" s="117"/>
      <c r="M517" s="123"/>
      <c r="S517" s="123"/>
    </row>
    <row r="518" spans="1:19" ht="14.25" customHeight="1" x14ac:dyDescent="0.3">
      <c r="A518" s="117"/>
      <c r="M518" s="123"/>
      <c r="S518" s="123"/>
    </row>
    <row r="519" spans="1:19" ht="14.25" customHeight="1" x14ac:dyDescent="0.3">
      <c r="A519" s="117"/>
      <c r="M519" s="123"/>
      <c r="S519" s="123"/>
    </row>
    <row r="520" spans="1:19" ht="14.25" customHeight="1" x14ac:dyDescent="0.3">
      <c r="A520" s="117"/>
      <c r="M520" s="123"/>
      <c r="S520" s="123"/>
    </row>
    <row r="521" spans="1:19" ht="14.25" customHeight="1" x14ac:dyDescent="0.3">
      <c r="A521" s="117"/>
      <c r="M521" s="123"/>
      <c r="S521" s="123"/>
    </row>
    <row r="522" spans="1:19" ht="14.25" customHeight="1" x14ac:dyDescent="0.3">
      <c r="A522" s="117"/>
      <c r="M522" s="123"/>
      <c r="S522" s="123"/>
    </row>
    <row r="523" spans="1:19" ht="14.25" customHeight="1" x14ac:dyDescent="0.3">
      <c r="A523" s="117"/>
      <c r="M523" s="123"/>
      <c r="S523" s="123"/>
    </row>
    <row r="524" spans="1:19" ht="14.25" customHeight="1" x14ac:dyDescent="0.3">
      <c r="A524" s="117"/>
      <c r="M524" s="123"/>
      <c r="S524" s="123"/>
    </row>
    <row r="525" spans="1:19" ht="14.25" customHeight="1" x14ac:dyDescent="0.3">
      <c r="A525" s="117"/>
      <c r="M525" s="123"/>
      <c r="S525" s="123"/>
    </row>
    <row r="526" spans="1:19" ht="14.25" customHeight="1" x14ac:dyDescent="0.3">
      <c r="A526" s="117"/>
      <c r="M526" s="123"/>
      <c r="S526" s="123"/>
    </row>
    <row r="527" spans="1:19" ht="14.25" customHeight="1" x14ac:dyDescent="0.3">
      <c r="A527" s="117"/>
      <c r="M527" s="123"/>
      <c r="S527" s="123"/>
    </row>
    <row r="528" spans="1:19" ht="14.25" customHeight="1" x14ac:dyDescent="0.3">
      <c r="A528" s="117"/>
      <c r="M528" s="123"/>
      <c r="S528" s="123"/>
    </row>
    <row r="529" spans="1:19" ht="14.25" customHeight="1" x14ac:dyDescent="0.3">
      <c r="A529" s="117"/>
      <c r="M529" s="123"/>
      <c r="S529" s="123"/>
    </row>
    <row r="530" spans="1:19" ht="14.25" customHeight="1" x14ac:dyDescent="0.3">
      <c r="A530" s="117"/>
      <c r="M530" s="123"/>
      <c r="S530" s="123"/>
    </row>
    <row r="531" spans="1:19" ht="14.25" customHeight="1" x14ac:dyDescent="0.3">
      <c r="A531" s="117"/>
      <c r="M531" s="123"/>
      <c r="S531" s="123"/>
    </row>
    <row r="532" spans="1:19" ht="14.25" customHeight="1" x14ac:dyDescent="0.3">
      <c r="A532" s="117"/>
      <c r="M532" s="123"/>
      <c r="S532" s="123"/>
    </row>
    <row r="533" spans="1:19" ht="14.25" customHeight="1" x14ac:dyDescent="0.3">
      <c r="A533" s="117"/>
      <c r="M533" s="123"/>
      <c r="S533" s="123"/>
    </row>
    <row r="534" spans="1:19" ht="14.25" customHeight="1" x14ac:dyDescent="0.3">
      <c r="A534" s="117"/>
      <c r="M534" s="123"/>
      <c r="S534" s="123"/>
    </row>
    <row r="535" spans="1:19" ht="14.25" customHeight="1" x14ac:dyDescent="0.3">
      <c r="A535" s="117"/>
      <c r="M535" s="123"/>
      <c r="S535" s="123"/>
    </row>
    <row r="536" spans="1:19" ht="14.25" customHeight="1" x14ac:dyDescent="0.3">
      <c r="A536" s="117"/>
      <c r="M536" s="123"/>
      <c r="S536" s="123"/>
    </row>
    <row r="537" spans="1:19" ht="14.25" customHeight="1" x14ac:dyDescent="0.3">
      <c r="A537" s="117"/>
      <c r="M537" s="123"/>
      <c r="S537" s="123"/>
    </row>
    <row r="538" spans="1:19" ht="14.25" customHeight="1" x14ac:dyDescent="0.3">
      <c r="A538" s="117"/>
      <c r="M538" s="123"/>
      <c r="S538" s="123"/>
    </row>
    <row r="539" spans="1:19" ht="14.25" customHeight="1" x14ac:dyDescent="0.3">
      <c r="A539" s="117"/>
      <c r="M539" s="123"/>
      <c r="S539" s="123"/>
    </row>
    <row r="540" spans="1:19" ht="14.25" customHeight="1" x14ac:dyDescent="0.3">
      <c r="A540" s="117"/>
      <c r="M540" s="123"/>
      <c r="S540" s="123"/>
    </row>
    <row r="541" spans="1:19" ht="14.25" customHeight="1" x14ac:dyDescent="0.3">
      <c r="A541" s="117"/>
      <c r="M541" s="123"/>
      <c r="S541" s="123"/>
    </row>
    <row r="542" spans="1:19" ht="14.25" customHeight="1" x14ac:dyDescent="0.3">
      <c r="A542" s="117"/>
      <c r="M542" s="123"/>
      <c r="S542" s="123"/>
    </row>
    <row r="543" spans="1:19" ht="14.25" customHeight="1" x14ac:dyDescent="0.3">
      <c r="A543" s="117"/>
      <c r="M543" s="123"/>
      <c r="S543" s="123"/>
    </row>
    <row r="544" spans="1:19" ht="14.25" customHeight="1" x14ac:dyDescent="0.3">
      <c r="A544" s="117"/>
      <c r="M544" s="123"/>
      <c r="S544" s="123"/>
    </row>
    <row r="545" spans="1:19" ht="14.25" customHeight="1" x14ac:dyDescent="0.3">
      <c r="A545" s="117"/>
      <c r="M545" s="123"/>
      <c r="S545" s="123"/>
    </row>
    <row r="546" spans="1:19" ht="14.25" customHeight="1" x14ac:dyDescent="0.3">
      <c r="A546" s="117"/>
      <c r="M546" s="123"/>
      <c r="S546" s="123"/>
    </row>
    <row r="547" spans="1:19" ht="14.25" customHeight="1" x14ac:dyDescent="0.3">
      <c r="A547" s="117"/>
      <c r="M547" s="123"/>
      <c r="S547" s="123"/>
    </row>
    <row r="548" spans="1:19" ht="14.25" customHeight="1" x14ac:dyDescent="0.3">
      <c r="A548" s="117"/>
      <c r="M548" s="123"/>
      <c r="S548" s="123"/>
    </row>
    <row r="549" spans="1:19" ht="14.25" customHeight="1" x14ac:dyDescent="0.3">
      <c r="A549" s="117"/>
      <c r="M549" s="123"/>
      <c r="S549" s="123"/>
    </row>
    <row r="550" spans="1:19" ht="14.25" customHeight="1" x14ac:dyDescent="0.3">
      <c r="A550" s="117"/>
      <c r="M550" s="123"/>
      <c r="S550" s="123"/>
    </row>
    <row r="551" spans="1:19" ht="14.25" customHeight="1" x14ac:dyDescent="0.3">
      <c r="A551" s="117"/>
      <c r="M551" s="123"/>
      <c r="S551" s="123"/>
    </row>
    <row r="552" spans="1:19" ht="14.25" customHeight="1" x14ac:dyDescent="0.3">
      <c r="A552" s="117"/>
      <c r="M552" s="123"/>
      <c r="S552" s="123"/>
    </row>
    <row r="553" spans="1:19" ht="14.25" customHeight="1" x14ac:dyDescent="0.3">
      <c r="A553" s="117"/>
      <c r="M553" s="123"/>
      <c r="S553" s="123"/>
    </row>
    <row r="554" spans="1:19" ht="14.25" customHeight="1" x14ac:dyDescent="0.3">
      <c r="A554" s="117"/>
      <c r="M554" s="123"/>
      <c r="S554" s="123"/>
    </row>
    <row r="555" spans="1:19" ht="14.25" customHeight="1" x14ac:dyDescent="0.3">
      <c r="A555" s="117"/>
      <c r="M555" s="123"/>
      <c r="S555" s="123"/>
    </row>
    <row r="556" spans="1:19" ht="14.25" customHeight="1" x14ac:dyDescent="0.3">
      <c r="A556" s="117"/>
      <c r="M556" s="123"/>
      <c r="S556" s="123"/>
    </row>
    <row r="557" spans="1:19" ht="14.25" customHeight="1" x14ac:dyDescent="0.3">
      <c r="A557" s="117"/>
      <c r="M557" s="123"/>
      <c r="S557" s="123"/>
    </row>
    <row r="558" spans="1:19" ht="14.25" customHeight="1" x14ac:dyDescent="0.3">
      <c r="A558" s="117"/>
      <c r="M558" s="123"/>
      <c r="S558" s="123"/>
    </row>
    <row r="559" spans="1:19" ht="14.25" customHeight="1" x14ac:dyDescent="0.3">
      <c r="A559" s="117"/>
      <c r="M559" s="123"/>
      <c r="S559" s="123"/>
    </row>
    <row r="560" spans="1:19" ht="14.25" customHeight="1" x14ac:dyDescent="0.3">
      <c r="A560" s="117"/>
      <c r="M560" s="123"/>
      <c r="S560" s="123"/>
    </row>
    <row r="561" spans="1:19" ht="14.25" customHeight="1" x14ac:dyDescent="0.3">
      <c r="A561" s="117"/>
      <c r="M561" s="123"/>
      <c r="S561" s="123"/>
    </row>
    <row r="562" spans="1:19" ht="14.25" customHeight="1" x14ac:dyDescent="0.3">
      <c r="A562" s="117"/>
      <c r="M562" s="123"/>
      <c r="S562" s="123"/>
    </row>
    <row r="563" spans="1:19" ht="14.25" customHeight="1" x14ac:dyDescent="0.3">
      <c r="A563" s="117"/>
      <c r="M563" s="123"/>
      <c r="S563" s="123"/>
    </row>
    <row r="564" spans="1:19" ht="14.25" customHeight="1" x14ac:dyDescent="0.3">
      <c r="A564" s="117"/>
      <c r="M564" s="123"/>
      <c r="S564" s="123"/>
    </row>
    <row r="565" spans="1:19" ht="14.25" customHeight="1" x14ac:dyDescent="0.3">
      <c r="A565" s="117"/>
      <c r="M565" s="123"/>
      <c r="S565" s="123"/>
    </row>
    <row r="566" spans="1:19" ht="14.25" customHeight="1" x14ac:dyDescent="0.3">
      <c r="A566" s="117"/>
      <c r="M566" s="123"/>
      <c r="S566" s="123"/>
    </row>
    <row r="567" spans="1:19" ht="14.25" customHeight="1" x14ac:dyDescent="0.3">
      <c r="A567" s="117"/>
      <c r="M567" s="123"/>
      <c r="S567" s="123"/>
    </row>
    <row r="568" spans="1:19" ht="14.25" customHeight="1" x14ac:dyDescent="0.3">
      <c r="A568" s="117"/>
      <c r="M568" s="123"/>
      <c r="S568" s="123"/>
    </row>
    <row r="569" spans="1:19" ht="14.25" customHeight="1" x14ac:dyDescent="0.3">
      <c r="A569" s="117"/>
      <c r="M569" s="123"/>
      <c r="S569" s="123"/>
    </row>
    <row r="570" spans="1:19" ht="14.25" customHeight="1" x14ac:dyDescent="0.3">
      <c r="A570" s="117"/>
      <c r="M570" s="123"/>
      <c r="S570" s="123"/>
    </row>
    <row r="571" spans="1:19" ht="14.25" customHeight="1" x14ac:dyDescent="0.3">
      <c r="A571" s="117"/>
      <c r="M571" s="123"/>
      <c r="S571" s="123"/>
    </row>
    <row r="572" spans="1:19" ht="14.25" customHeight="1" x14ac:dyDescent="0.3">
      <c r="A572" s="117"/>
      <c r="M572" s="123"/>
      <c r="S572" s="123"/>
    </row>
    <row r="573" spans="1:19" ht="14.25" customHeight="1" x14ac:dyDescent="0.3">
      <c r="A573" s="117"/>
      <c r="M573" s="123"/>
      <c r="S573" s="123"/>
    </row>
    <row r="574" spans="1:19" ht="14.25" customHeight="1" x14ac:dyDescent="0.3">
      <c r="A574" s="117"/>
      <c r="M574" s="123"/>
      <c r="S574" s="123"/>
    </row>
    <row r="575" spans="1:19" ht="14.25" customHeight="1" x14ac:dyDescent="0.3">
      <c r="A575" s="117"/>
      <c r="M575" s="123"/>
      <c r="S575" s="123"/>
    </row>
    <row r="576" spans="1:19" ht="14.25" customHeight="1" x14ac:dyDescent="0.3">
      <c r="A576" s="117"/>
      <c r="M576" s="123"/>
      <c r="S576" s="123"/>
    </row>
    <row r="577" spans="1:19" ht="14.25" customHeight="1" x14ac:dyDescent="0.3">
      <c r="A577" s="117"/>
      <c r="M577" s="123"/>
      <c r="S577" s="123"/>
    </row>
    <row r="578" spans="1:19" ht="14.25" customHeight="1" x14ac:dyDescent="0.3">
      <c r="A578" s="117"/>
      <c r="M578" s="123"/>
      <c r="S578" s="123"/>
    </row>
    <row r="579" spans="1:19" ht="14.25" customHeight="1" x14ac:dyDescent="0.3">
      <c r="A579" s="117"/>
      <c r="M579" s="123"/>
      <c r="S579" s="123"/>
    </row>
    <row r="580" spans="1:19" ht="14.25" customHeight="1" x14ac:dyDescent="0.3">
      <c r="A580" s="117"/>
      <c r="M580" s="123"/>
      <c r="S580" s="123"/>
    </row>
    <row r="581" spans="1:19" ht="14.25" customHeight="1" x14ac:dyDescent="0.3">
      <c r="A581" s="117"/>
      <c r="M581" s="123"/>
      <c r="S581" s="123"/>
    </row>
    <row r="582" spans="1:19" ht="14.25" customHeight="1" x14ac:dyDescent="0.3">
      <c r="A582" s="117"/>
      <c r="M582" s="123"/>
      <c r="S582" s="123"/>
    </row>
    <row r="583" spans="1:19" ht="14.25" customHeight="1" x14ac:dyDescent="0.3">
      <c r="A583" s="117"/>
      <c r="M583" s="123"/>
      <c r="S583" s="123"/>
    </row>
    <row r="584" spans="1:19" ht="14.25" customHeight="1" x14ac:dyDescent="0.3">
      <c r="A584" s="117"/>
      <c r="M584" s="123"/>
      <c r="S584" s="123"/>
    </row>
    <row r="585" spans="1:19" ht="14.25" customHeight="1" x14ac:dyDescent="0.3">
      <c r="A585" s="117"/>
      <c r="M585" s="123"/>
      <c r="S585" s="123"/>
    </row>
    <row r="586" spans="1:19" ht="14.25" customHeight="1" x14ac:dyDescent="0.3">
      <c r="A586" s="117"/>
      <c r="M586" s="123"/>
      <c r="S586" s="123"/>
    </row>
    <row r="587" spans="1:19" ht="14.25" customHeight="1" x14ac:dyDescent="0.3">
      <c r="A587" s="117"/>
      <c r="M587" s="123"/>
      <c r="S587" s="123"/>
    </row>
    <row r="588" spans="1:19" ht="14.25" customHeight="1" x14ac:dyDescent="0.3">
      <c r="A588" s="117"/>
      <c r="M588" s="123"/>
      <c r="S588" s="123"/>
    </row>
    <row r="589" spans="1:19" ht="14.25" customHeight="1" x14ac:dyDescent="0.3">
      <c r="A589" s="117"/>
      <c r="M589" s="123"/>
      <c r="S589" s="123"/>
    </row>
    <row r="590" spans="1:19" ht="14.25" customHeight="1" x14ac:dyDescent="0.3">
      <c r="A590" s="117"/>
      <c r="M590" s="123"/>
      <c r="S590" s="123"/>
    </row>
    <row r="591" spans="1:19" ht="14.25" customHeight="1" x14ac:dyDescent="0.3">
      <c r="A591" s="117"/>
      <c r="M591" s="123"/>
      <c r="S591" s="123"/>
    </row>
    <row r="592" spans="1:19" ht="14.25" customHeight="1" x14ac:dyDescent="0.3">
      <c r="A592" s="117"/>
      <c r="M592" s="123"/>
      <c r="S592" s="123"/>
    </row>
    <row r="593" spans="1:19" ht="14.25" customHeight="1" x14ac:dyDescent="0.3">
      <c r="A593" s="117"/>
      <c r="M593" s="123"/>
      <c r="S593" s="123"/>
    </row>
    <row r="594" spans="1:19" ht="14.25" customHeight="1" x14ac:dyDescent="0.3">
      <c r="A594" s="117"/>
      <c r="M594" s="123"/>
      <c r="S594" s="123"/>
    </row>
    <row r="595" spans="1:19" ht="14.25" customHeight="1" x14ac:dyDescent="0.3">
      <c r="A595" s="117"/>
      <c r="M595" s="123"/>
      <c r="S595" s="123"/>
    </row>
    <row r="596" spans="1:19" ht="14.25" customHeight="1" x14ac:dyDescent="0.3">
      <c r="A596" s="117"/>
      <c r="M596" s="123"/>
      <c r="S596" s="123"/>
    </row>
    <row r="597" spans="1:19" ht="14.25" customHeight="1" x14ac:dyDescent="0.3">
      <c r="A597" s="117"/>
      <c r="M597" s="123"/>
      <c r="S597" s="123"/>
    </row>
    <row r="598" spans="1:19" ht="14.25" customHeight="1" x14ac:dyDescent="0.3">
      <c r="A598" s="117"/>
      <c r="M598" s="123"/>
      <c r="S598" s="123"/>
    </row>
    <row r="599" spans="1:19" ht="14.25" customHeight="1" x14ac:dyDescent="0.3">
      <c r="A599" s="117"/>
      <c r="M599" s="123"/>
      <c r="S599" s="123"/>
    </row>
    <row r="600" spans="1:19" ht="14.25" customHeight="1" x14ac:dyDescent="0.3">
      <c r="A600" s="117"/>
      <c r="M600" s="123"/>
      <c r="S600" s="123"/>
    </row>
    <row r="601" spans="1:19" ht="14.25" customHeight="1" x14ac:dyDescent="0.3">
      <c r="A601" s="117"/>
      <c r="M601" s="123"/>
      <c r="S601" s="123"/>
    </row>
    <row r="602" spans="1:19" ht="14.25" customHeight="1" x14ac:dyDescent="0.3">
      <c r="A602" s="117"/>
      <c r="M602" s="123"/>
      <c r="S602" s="123"/>
    </row>
    <row r="603" spans="1:19" ht="14.25" customHeight="1" x14ac:dyDescent="0.3">
      <c r="A603" s="117"/>
      <c r="M603" s="123"/>
      <c r="S603" s="123"/>
    </row>
    <row r="604" spans="1:19" ht="14.25" customHeight="1" x14ac:dyDescent="0.3">
      <c r="A604" s="117"/>
      <c r="M604" s="123"/>
      <c r="S604" s="123"/>
    </row>
    <row r="605" spans="1:19" ht="14.25" customHeight="1" x14ac:dyDescent="0.3">
      <c r="A605" s="117"/>
      <c r="M605" s="123"/>
      <c r="S605" s="123"/>
    </row>
    <row r="606" spans="1:19" ht="14.25" customHeight="1" x14ac:dyDescent="0.3">
      <c r="A606" s="117"/>
      <c r="M606" s="123"/>
      <c r="S606" s="123"/>
    </row>
    <row r="607" spans="1:19" ht="14.25" customHeight="1" x14ac:dyDescent="0.3">
      <c r="A607" s="117"/>
      <c r="M607" s="123"/>
      <c r="S607" s="123"/>
    </row>
    <row r="608" spans="1:19" ht="14.25" customHeight="1" x14ac:dyDescent="0.3">
      <c r="A608" s="117"/>
      <c r="M608" s="123"/>
      <c r="S608" s="123"/>
    </row>
    <row r="609" spans="1:19" ht="14.25" customHeight="1" x14ac:dyDescent="0.3">
      <c r="A609" s="117"/>
      <c r="M609" s="123"/>
      <c r="S609" s="123"/>
    </row>
    <row r="610" spans="1:19" ht="14.25" customHeight="1" x14ac:dyDescent="0.3">
      <c r="A610" s="117"/>
      <c r="M610" s="123"/>
      <c r="S610" s="123"/>
    </row>
    <row r="611" spans="1:19" ht="14.25" customHeight="1" x14ac:dyDescent="0.3">
      <c r="A611" s="117"/>
      <c r="M611" s="123"/>
      <c r="S611" s="123"/>
    </row>
    <row r="612" spans="1:19" ht="14.25" customHeight="1" x14ac:dyDescent="0.3">
      <c r="A612" s="117"/>
      <c r="M612" s="123"/>
      <c r="S612" s="123"/>
    </row>
    <row r="613" spans="1:19" ht="14.25" customHeight="1" x14ac:dyDescent="0.3">
      <c r="A613" s="117"/>
      <c r="M613" s="123"/>
      <c r="S613" s="123"/>
    </row>
    <row r="614" spans="1:19" ht="14.25" customHeight="1" x14ac:dyDescent="0.3">
      <c r="A614" s="117"/>
      <c r="M614" s="123"/>
      <c r="S614" s="123"/>
    </row>
    <row r="615" spans="1:19" ht="14.25" customHeight="1" x14ac:dyDescent="0.3">
      <c r="A615" s="117"/>
      <c r="M615" s="123"/>
      <c r="S615" s="123"/>
    </row>
    <row r="616" spans="1:19" ht="14.25" customHeight="1" x14ac:dyDescent="0.3">
      <c r="A616" s="117"/>
      <c r="M616" s="123"/>
      <c r="S616" s="123"/>
    </row>
    <row r="617" spans="1:19" ht="14.25" customHeight="1" x14ac:dyDescent="0.3">
      <c r="A617" s="117"/>
      <c r="M617" s="123"/>
      <c r="S617" s="123"/>
    </row>
    <row r="618" spans="1:19" ht="14.25" customHeight="1" x14ac:dyDescent="0.3">
      <c r="A618" s="117"/>
      <c r="M618" s="123"/>
      <c r="S618" s="123"/>
    </row>
    <row r="619" spans="1:19" ht="14.25" customHeight="1" x14ac:dyDescent="0.3">
      <c r="A619" s="117"/>
      <c r="M619" s="123"/>
      <c r="S619" s="123"/>
    </row>
    <row r="620" spans="1:19" ht="14.25" customHeight="1" x14ac:dyDescent="0.3">
      <c r="A620" s="117"/>
      <c r="M620" s="123"/>
      <c r="S620" s="123"/>
    </row>
    <row r="621" spans="1:19" ht="14.25" customHeight="1" x14ac:dyDescent="0.3">
      <c r="A621" s="117"/>
      <c r="M621" s="123"/>
      <c r="S621" s="123"/>
    </row>
    <row r="622" spans="1:19" ht="14.25" customHeight="1" x14ac:dyDescent="0.3">
      <c r="A622" s="117"/>
      <c r="M622" s="123"/>
      <c r="S622" s="123"/>
    </row>
    <row r="623" spans="1:19" ht="14.25" customHeight="1" x14ac:dyDescent="0.3">
      <c r="A623" s="117"/>
      <c r="M623" s="123"/>
      <c r="S623" s="123"/>
    </row>
    <row r="624" spans="1:19" ht="14.25" customHeight="1" x14ac:dyDescent="0.3">
      <c r="A624" s="117"/>
      <c r="M624" s="123"/>
      <c r="S624" s="123"/>
    </row>
    <row r="625" spans="1:19" ht="14.25" customHeight="1" x14ac:dyDescent="0.3">
      <c r="A625" s="117"/>
      <c r="M625" s="123"/>
      <c r="S625" s="123"/>
    </row>
    <row r="626" spans="1:19" ht="14.25" customHeight="1" x14ac:dyDescent="0.3">
      <c r="A626" s="117"/>
      <c r="M626" s="123"/>
      <c r="S626" s="123"/>
    </row>
    <row r="627" spans="1:19" ht="14.25" customHeight="1" x14ac:dyDescent="0.3">
      <c r="A627" s="117"/>
      <c r="M627" s="123"/>
      <c r="S627" s="123"/>
    </row>
    <row r="628" spans="1:19" ht="14.25" customHeight="1" x14ac:dyDescent="0.3">
      <c r="A628" s="117"/>
      <c r="M628" s="123"/>
      <c r="S628" s="123"/>
    </row>
    <row r="629" spans="1:19" ht="14.25" customHeight="1" x14ac:dyDescent="0.3">
      <c r="A629" s="117"/>
      <c r="M629" s="123"/>
      <c r="S629" s="123"/>
    </row>
    <row r="630" spans="1:19" ht="14.25" customHeight="1" x14ac:dyDescent="0.3">
      <c r="A630" s="117"/>
      <c r="M630" s="123"/>
      <c r="S630" s="123"/>
    </row>
    <row r="631" spans="1:19" ht="14.25" customHeight="1" x14ac:dyDescent="0.3">
      <c r="A631" s="117"/>
      <c r="M631" s="123"/>
      <c r="S631" s="123"/>
    </row>
    <row r="632" spans="1:19" ht="14.25" customHeight="1" x14ac:dyDescent="0.3">
      <c r="A632" s="117"/>
      <c r="M632" s="123"/>
      <c r="S632" s="123"/>
    </row>
    <row r="633" spans="1:19" ht="14.25" customHeight="1" x14ac:dyDescent="0.3">
      <c r="A633" s="117"/>
      <c r="M633" s="123"/>
      <c r="S633" s="123"/>
    </row>
    <row r="634" spans="1:19" ht="14.25" customHeight="1" x14ac:dyDescent="0.3">
      <c r="A634" s="117"/>
      <c r="M634" s="123"/>
      <c r="S634" s="123"/>
    </row>
    <row r="635" spans="1:19" ht="14.25" customHeight="1" x14ac:dyDescent="0.3">
      <c r="A635" s="117"/>
      <c r="M635" s="123"/>
      <c r="S635" s="123"/>
    </row>
    <row r="636" spans="1:19" ht="14.25" customHeight="1" x14ac:dyDescent="0.3">
      <c r="A636" s="117"/>
      <c r="M636" s="123"/>
      <c r="S636" s="123"/>
    </row>
    <row r="637" spans="1:19" ht="14.25" customHeight="1" x14ac:dyDescent="0.3">
      <c r="A637" s="117"/>
      <c r="M637" s="123"/>
      <c r="S637" s="123"/>
    </row>
    <row r="638" spans="1:19" ht="14.25" customHeight="1" x14ac:dyDescent="0.3">
      <c r="A638" s="117"/>
      <c r="M638" s="123"/>
      <c r="S638" s="123"/>
    </row>
    <row r="639" spans="1:19" ht="14.25" customHeight="1" x14ac:dyDescent="0.3">
      <c r="A639" s="117"/>
      <c r="M639" s="123"/>
      <c r="S639" s="123"/>
    </row>
    <row r="640" spans="1:19" ht="14.25" customHeight="1" x14ac:dyDescent="0.3">
      <c r="A640" s="117"/>
      <c r="M640" s="123"/>
      <c r="S640" s="123"/>
    </row>
    <row r="641" spans="1:19" ht="14.25" customHeight="1" x14ac:dyDescent="0.3">
      <c r="A641" s="117"/>
      <c r="M641" s="123"/>
      <c r="S641" s="123"/>
    </row>
    <row r="642" spans="1:19" ht="14.25" customHeight="1" x14ac:dyDescent="0.3">
      <c r="A642" s="117"/>
      <c r="M642" s="123"/>
      <c r="S642" s="123"/>
    </row>
    <row r="643" spans="1:19" ht="14.25" customHeight="1" x14ac:dyDescent="0.3">
      <c r="A643" s="117"/>
      <c r="M643" s="123"/>
      <c r="S643" s="123"/>
    </row>
    <row r="644" spans="1:19" ht="14.25" customHeight="1" x14ac:dyDescent="0.3">
      <c r="A644" s="117"/>
      <c r="M644" s="123"/>
      <c r="S644" s="123"/>
    </row>
    <row r="645" spans="1:19" ht="14.25" customHeight="1" x14ac:dyDescent="0.3">
      <c r="A645" s="117"/>
      <c r="M645" s="123"/>
      <c r="S645" s="123"/>
    </row>
    <row r="646" spans="1:19" ht="14.25" customHeight="1" x14ac:dyDescent="0.3">
      <c r="A646" s="117"/>
      <c r="M646" s="123"/>
      <c r="S646" s="123"/>
    </row>
    <row r="647" spans="1:19" ht="14.25" customHeight="1" x14ac:dyDescent="0.3">
      <c r="A647" s="117"/>
      <c r="M647" s="123"/>
      <c r="S647" s="123"/>
    </row>
    <row r="648" spans="1:19" ht="14.25" customHeight="1" x14ac:dyDescent="0.3">
      <c r="A648" s="117"/>
      <c r="M648" s="123"/>
      <c r="S648" s="123"/>
    </row>
    <row r="649" spans="1:19" ht="14.25" customHeight="1" x14ac:dyDescent="0.3">
      <c r="A649" s="117"/>
      <c r="M649" s="123"/>
      <c r="S649" s="123"/>
    </row>
    <row r="650" spans="1:19" ht="14.25" customHeight="1" x14ac:dyDescent="0.3">
      <c r="A650" s="117"/>
      <c r="M650" s="123"/>
      <c r="S650" s="123"/>
    </row>
    <row r="651" spans="1:19" ht="14.25" customHeight="1" x14ac:dyDescent="0.3">
      <c r="A651" s="117"/>
      <c r="M651" s="123"/>
      <c r="S651" s="123"/>
    </row>
    <row r="652" spans="1:19" ht="14.25" customHeight="1" x14ac:dyDescent="0.3">
      <c r="A652" s="117"/>
      <c r="M652" s="123"/>
      <c r="S652" s="123"/>
    </row>
    <row r="653" spans="1:19" ht="14.25" customHeight="1" x14ac:dyDescent="0.3">
      <c r="A653" s="117"/>
      <c r="M653" s="123"/>
      <c r="S653" s="123"/>
    </row>
    <row r="654" spans="1:19" ht="14.25" customHeight="1" x14ac:dyDescent="0.3">
      <c r="A654" s="117"/>
      <c r="M654" s="123"/>
      <c r="S654" s="123"/>
    </row>
    <row r="655" spans="1:19" ht="14.25" customHeight="1" x14ac:dyDescent="0.3">
      <c r="A655" s="117"/>
      <c r="M655" s="123"/>
      <c r="S655" s="123"/>
    </row>
    <row r="656" spans="1:19" ht="14.25" customHeight="1" x14ac:dyDescent="0.3">
      <c r="A656" s="117"/>
      <c r="M656" s="123"/>
      <c r="S656" s="123"/>
    </row>
    <row r="657" spans="1:19" ht="14.25" customHeight="1" x14ac:dyDescent="0.3">
      <c r="A657" s="117"/>
      <c r="M657" s="123"/>
      <c r="S657" s="123"/>
    </row>
    <row r="658" spans="1:19" ht="14.25" customHeight="1" x14ac:dyDescent="0.3">
      <c r="A658" s="117"/>
      <c r="M658" s="123"/>
      <c r="S658" s="123"/>
    </row>
    <row r="659" spans="1:19" ht="14.25" customHeight="1" x14ac:dyDescent="0.3">
      <c r="A659" s="117"/>
      <c r="M659" s="123"/>
      <c r="S659" s="123"/>
    </row>
    <row r="660" spans="1:19" ht="14.25" customHeight="1" x14ac:dyDescent="0.3">
      <c r="A660" s="117"/>
      <c r="M660" s="123"/>
      <c r="S660" s="123"/>
    </row>
    <row r="661" spans="1:19" ht="14.25" customHeight="1" x14ac:dyDescent="0.3">
      <c r="A661" s="117"/>
      <c r="M661" s="123"/>
      <c r="S661" s="123"/>
    </row>
    <row r="662" spans="1:19" ht="14.25" customHeight="1" x14ac:dyDescent="0.3">
      <c r="A662" s="117"/>
      <c r="M662" s="123"/>
      <c r="S662" s="123"/>
    </row>
    <row r="663" spans="1:19" ht="14.25" customHeight="1" x14ac:dyDescent="0.3">
      <c r="A663" s="117"/>
      <c r="M663" s="123"/>
      <c r="S663" s="123"/>
    </row>
    <row r="664" spans="1:19" ht="14.25" customHeight="1" x14ac:dyDescent="0.3">
      <c r="A664" s="117"/>
      <c r="M664" s="123"/>
      <c r="S664" s="123"/>
    </row>
    <row r="665" spans="1:19" ht="14.25" customHeight="1" x14ac:dyDescent="0.3">
      <c r="A665" s="117"/>
      <c r="M665" s="123"/>
      <c r="S665" s="123"/>
    </row>
    <row r="666" spans="1:19" ht="14.25" customHeight="1" x14ac:dyDescent="0.3">
      <c r="A666" s="117"/>
      <c r="M666" s="123"/>
      <c r="S666" s="123"/>
    </row>
    <row r="667" spans="1:19" ht="14.25" customHeight="1" x14ac:dyDescent="0.3">
      <c r="A667" s="117"/>
      <c r="M667" s="123"/>
      <c r="S667" s="123"/>
    </row>
    <row r="668" spans="1:19" ht="14.25" customHeight="1" x14ac:dyDescent="0.3">
      <c r="A668" s="117"/>
      <c r="M668" s="123"/>
      <c r="S668" s="123"/>
    </row>
    <row r="669" spans="1:19" ht="14.25" customHeight="1" x14ac:dyDescent="0.3">
      <c r="A669" s="117"/>
      <c r="M669" s="123"/>
      <c r="S669" s="123"/>
    </row>
    <row r="670" spans="1:19" ht="14.25" customHeight="1" x14ac:dyDescent="0.3">
      <c r="A670" s="117"/>
      <c r="M670" s="123"/>
      <c r="S670" s="123"/>
    </row>
    <row r="671" spans="1:19" ht="14.25" customHeight="1" x14ac:dyDescent="0.3">
      <c r="A671" s="117"/>
      <c r="M671" s="123"/>
      <c r="S671" s="123"/>
    </row>
    <row r="672" spans="1:19" ht="14.25" customHeight="1" x14ac:dyDescent="0.3">
      <c r="A672" s="117"/>
      <c r="M672" s="123"/>
      <c r="S672" s="123"/>
    </row>
    <row r="673" spans="1:19" ht="14.25" customHeight="1" x14ac:dyDescent="0.3">
      <c r="A673" s="117"/>
      <c r="M673" s="123"/>
      <c r="S673" s="123"/>
    </row>
    <row r="674" spans="1:19" ht="14.25" customHeight="1" x14ac:dyDescent="0.3">
      <c r="A674" s="117"/>
      <c r="M674" s="123"/>
      <c r="S674" s="123"/>
    </row>
    <row r="675" spans="1:19" ht="14.25" customHeight="1" x14ac:dyDescent="0.3">
      <c r="A675" s="117"/>
      <c r="M675" s="123"/>
      <c r="S675" s="123"/>
    </row>
    <row r="676" spans="1:19" ht="14.25" customHeight="1" x14ac:dyDescent="0.3">
      <c r="A676" s="117"/>
      <c r="M676" s="123"/>
      <c r="S676" s="123"/>
    </row>
    <row r="677" spans="1:19" ht="14.25" customHeight="1" x14ac:dyDescent="0.3">
      <c r="A677" s="117"/>
      <c r="M677" s="123"/>
      <c r="S677" s="123"/>
    </row>
    <row r="678" spans="1:19" ht="14.25" customHeight="1" x14ac:dyDescent="0.3">
      <c r="A678" s="117"/>
      <c r="M678" s="123"/>
      <c r="S678" s="123"/>
    </row>
    <row r="679" spans="1:19" ht="14.25" customHeight="1" x14ac:dyDescent="0.3">
      <c r="A679" s="117"/>
      <c r="M679" s="123"/>
      <c r="S679" s="123"/>
    </row>
    <row r="680" spans="1:19" ht="14.25" customHeight="1" x14ac:dyDescent="0.3">
      <c r="A680" s="117"/>
      <c r="M680" s="123"/>
      <c r="S680" s="123"/>
    </row>
    <row r="681" spans="1:19" ht="14.25" customHeight="1" x14ac:dyDescent="0.3">
      <c r="A681" s="117"/>
      <c r="M681" s="123"/>
      <c r="S681" s="123"/>
    </row>
    <row r="682" spans="1:19" ht="14.25" customHeight="1" x14ac:dyDescent="0.3">
      <c r="A682" s="117"/>
      <c r="M682" s="123"/>
      <c r="S682" s="123"/>
    </row>
    <row r="683" spans="1:19" ht="14.25" customHeight="1" x14ac:dyDescent="0.3">
      <c r="A683" s="117"/>
      <c r="M683" s="123"/>
      <c r="S683" s="123"/>
    </row>
    <row r="684" spans="1:19" ht="14.25" customHeight="1" x14ac:dyDescent="0.3">
      <c r="A684" s="117"/>
      <c r="M684" s="123"/>
      <c r="S684" s="123"/>
    </row>
    <row r="685" spans="1:19" ht="14.25" customHeight="1" x14ac:dyDescent="0.3">
      <c r="A685" s="117"/>
      <c r="M685" s="123"/>
      <c r="S685" s="123"/>
    </row>
    <row r="686" spans="1:19" ht="14.25" customHeight="1" x14ac:dyDescent="0.3">
      <c r="A686" s="117"/>
      <c r="M686" s="123"/>
      <c r="S686" s="123"/>
    </row>
    <row r="687" spans="1:19" ht="14.25" customHeight="1" x14ac:dyDescent="0.3">
      <c r="A687" s="117"/>
      <c r="M687" s="123"/>
      <c r="S687" s="123"/>
    </row>
    <row r="688" spans="1:19" ht="14.25" customHeight="1" x14ac:dyDescent="0.3">
      <c r="A688" s="117"/>
      <c r="M688" s="123"/>
      <c r="S688" s="123"/>
    </row>
    <row r="689" spans="1:19" ht="14.25" customHeight="1" x14ac:dyDescent="0.3">
      <c r="A689" s="117"/>
      <c r="M689" s="123"/>
      <c r="S689" s="123"/>
    </row>
    <row r="690" spans="1:19" ht="14.25" customHeight="1" x14ac:dyDescent="0.3">
      <c r="A690" s="117"/>
      <c r="M690" s="123"/>
      <c r="S690" s="123"/>
    </row>
    <row r="691" spans="1:19" ht="14.25" customHeight="1" x14ac:dyDescent="0.3">
      <c r="A691" s="117"/>
      <c r="M691" s="123"/>
      <c r="S691" s="123"/>
    </row>
    <row r="692" spans="1:19" ht="14.25" customHeight="1" x14ac:dyDescent="0.3">
      <c r="A692" s="117"/>
      <c r="M692" s="123"/>
      <c r="S692" s="123"/>
    </row>
    <row r="693" spans="1:19" ht="14.25" customHeight="1" x14ac:dyDescent="0.3">
      <c r="A693" s="117"/>
      <c r="M693" s="123"/>
      <c r="S693" s="123"/>
    </row>
    <row r="694" spans="1:19" ht="14.25" customHeight="1" x14ac:dyDescent="0.3">
      <c r="A694" s="117"/>
      <c r="M694" s="123"/>
      <c r="S694" s="123"/>
    </row>
    <row r="695" spans="1:19" ht="14.25" customHeight="1" x14ac:dyDescent="0.3">
      <c r="A695" s="117"/>
      <c r="M695" s="123"/>
      <c r="S695" s="123"/>
    </row>
    <row r="696" spans="1:19" ht="14.25" customHeight="1" x14ac:dyDescent="0.3">
      <c r="A696" s="117"/>
      <c r="M696" s="123"/>
      <c r="S696" s="123"/>
    </row>
    <row r="697" spans="1:19" ht="14.25" customHeight="1" x14ac:dyDescent="0.3">
      <c r="A697" s="117"/>
      <c r="M697" s="123"/>
      <c r="S697" s="123"/>
    </row>
    <row r="698" spans="1:19" ht="14.25" customHeight="1" x14ac:dyDescent="0.3">
      <c r="A698" s="117"/>
      <c r="M698" s="123"/>
      <c r="S698" s="123"/>
    </row>
    <row r="699" spans="1:19" ht="14.25" customHeight="1" x14ac:dyDescent="0.3">
      <c r="A699" s="117"/>
      <c r="M699" s="123"/>
      <c r="S699" s="123"/>
    </row>
    <row r="700" spans="1:19" ht="14.25" customHeight="1" x14ac:dyDescent="0.3">
      <c r="A700" s="117"/>
      <c r="M700" s="123"/>
      <c r="S700" s="123"/>
    </row>
    <row r="701" spans="1:19" ht="14.25" customHeight="1" x14ac:dyDescent="0.3">
      <c r="A701" s="117"/>
      <c r="M701" s="123"/>
      <c r="S701" s="123"/>
    </row>
    <row r="702" spans="1:19" ht="14.25" customHeight="1" x14ac:dyDescent="0.3">
      <c r="A702" s="117"/>
      <c r="M702" s="123"/>
      <c r="S702" s="123"/>
    </row>
    <row r="703" spans="1:19" ht="14.25" customHeight="1" x14ac:dyDescent="0.3">
      <c r="A703" s="117"/>
      <c r="M703" s="123"/>
      <c r="S703" s="123"/>
    </row>
    <row r="704" spans="1:19" ht="14.25" customHeight="1" x14ac:dyDescent="0.3">
      <c r="A704" s="117"/>
      <c r="M704" s="123"/>
      <c r="S704" s="123"/>
    </row>
    <row r="705" spans="1:19" ht="14.25" customHeight="1" x14ac:dyDescent="0.3">
      <c r="A705" s="117"/>
      <c r="M705" s="123"/>
      <c r="S705" s="123"/>
    </row>
    <row r="706" spans="1:19" ht="14.25" customHeight="1" x14ac:dyDescent="0.3">
      <c r="A706" s="117"/>
      <c r="M706" s="123"/>
      <c r="S706" s="123"/>
    </row>
    <row r="707" spans="1:19" ht="14.25" customHeight="1" x14ac:dyDescent="0.3">
      <c r="A707" s="117"/>
      <c r="M707" s="123"/>
      <c r="S707" s="123"/>
    </row>
    <row r="708" spans="1:19" ht="14.25" customHeight="1" x14ac:dyDescent="0.3">
      <c r="A708" s="117"/>
      <c r="M708" s="123"/>
      <c r="S708" s="123"/>
    </row>
    <row r="709" spans="1:19" ht="14.25" customHeight="1" x14ac:dyDescent="0.3">
      <c r="A709" s="117"/>
      <c r="M709" s="123"/>
      <c r="S709" s="123"/>
    </row>
    <row r="710" spans="1:19" ht="14.25" customHeight="1" x14ac:dyDescent="0.3">
      <c r="A710" s="117"/>
      <c r="M710" s="123"/>
      <c r="S710" s="123"/>
    </row>
    <row r="711" spans="1:19" ht="14.25" customHeight="1" x14ac:dyDescent="0.3">
      <c r="A711" s="117"/>
      <c r="M711" s="123"/>
      <c r="S711" s="123"/>
    </row>
    <row r="712" spans="1:19" ht="14.25" customHeight="1" x14ac:dyDescent="0.3">
      <c r="A712" s="117"/>
      <c r="M712" s="123"/>
      <c r="S712" s="123"/>
    </row>
    <row r="713" spans="1:19" ht="14.25" customHeight="1" x14ac:dyDescent="0.3">
      <c r="A713" s="117"/>
      <c r="M713" s="123"/>
      <c r="S713" s="123"/>
    </row>
    <row r="714" spans="1:19" ht="14.25" customHeight="1" x14ac:dyDescent="0.3">
      <c r="A714" s="117"/>
      <c r="M714" s="123"/>
      <c r="S714" s="123"/>
    </row>
    <row r="715" spans="1:19" ht="14.25" customHeight="1" x14ac:dyDescent="0.3">
      <c r="A715" s="117"/>
      <c r="M715" s="123"/>
      <c r="S715" s="123"/>
    </row>
    <row r="716" spans="1:19" ht="14.25" customHeight="1" x14ac:dyDescent="0.3">
      <c r="A716" s="117"/>
      <c r="M716" s="123"/>
      <c r="S716" s="123"/>
    </row>
    <row r="717" spans="1:19" ht="14.25" customHeight="1" x14ac:dyDescent="0.3">
      <c r="A717" s="117"/>
      <c r="M717" s="123"/>
      <c r="S717" s="123"/>
    </row>
    <row r="718" spans="1:19" ht="14.25" customHeight="1" x14ac:dyDescent="0.3">
      <c r="A718" s="117"/>
      <c r="M718" s="123"/>
      <c r="S718" s="123"/>
    </row>
    <row r="719" spans="1:19" ht="14.25" customHeight="1" x14ac:dyDescent="0.3">
      <c r="A719" s="117"/>
      <c r="M719" s="123"/>
      <c r="S719" s="123"/>
    </row>
    <row r="720" spans="1:19" ht="14.25" customHeight="1" x14ac:dyDescent="0.3">
      <c r="A720" s="117"/>
      <c r="M720" s="123"/>
      <c r="S720" s="123"/>
    </row>
    <row r="721" spans="1:19" ht="14.25" customHeight="1" x14ac:dyDescent="0.3">
      <c r="A721" s="117"/>
      <c r="M721" s="123"/>
      <c r="S721" s="123"/>
    </row>
    <row r="722" spans="1:19" ht="14.25" customHeight="1" x14ac:dyDescent="0.3">
      <c r="A722" s="117"/>
      <c r="M722" s="123"/>
      <c r="S722" s="123"/>
    </row>
    <row r="723" spans="1:19" ht="14.25" customHeight="1" x14ac:dyDescent="0.3">
      <c r="A723" s="117"/>
      <c r="M723" s="123"/>
      <c r="S723" s="123"/>
    </row>
    <row r="724" spans="1:19" ht="14.25" customHeight="1" x14ac:dyDescent="0.3">
      <c r="A724" s="117"/>
      <c r="M724" s="123"/>
      <c r="S724" s="123"/>
    </row>
    <row r="725" spans="1:19" ht="14.25" customHeight="1" x14ac:dyDescent="0.3">
      <c r="A725" s="117"/>
      <c r="M725" s="123"/>
      <c r="S725" s="123"/>
    </row>
    <row r="726" spans="1:19" ht="14.25" customHeight="1" x14ac:dyDescent="0.3">
      <c r="A726" s="117"/>
      <c r="M726" s="123"/>
      <c r="S726" s="123"/>
    </row>
    <row r="727" spans="1:19" ht="14.25" customHeight="1" x14ac:dyDescent="0.3">
      <c r="A727" s="117"/>
      <c r="M727" s="123"/>
      <c r="S727" s="123"/>
    </row>
    <row r="728" spans="1:19" ht="14.25" customHeight="1" x14ac:dyDescent="0.3">
      <c r="A728" s="117"/>
      <c r="M728" s="123"/>
      <c r="S728" s="123"/>
    </row>
    <row r="729" spans="1:19" ht="14.25" customHeight="1" x14ac:dyDescent="0.3">
      <c r="A729" s="117"/>
      <c r="M729" s="123"/>
      <c r="S729" s="123"/>
    </row>
    <row r="730" spans="1:19" ht="14.25" customHeight="1" x14ac:dyDescent="0.3">
      <c r="A730" s="117"/>
      <c r="M730" s="123"/>
      <c r="S730" s="123"/>
    </row>
    <row r="731" spans="1:19" ht="14.25" customHeight="1" x14ac:dyDescent="0.3">
      <c r="A731" s="117"/>
      <c r="M731" s="123"/>
      <c r="S731" s="123"/>
    </row>
    <row r="732" spans="1:19" ht="14.25" customHeight="1" x14ac:dyDescent="0.3">
      <c r="A732" s="117"/>
      <c r="M732" s="123"/>
      <c r="S732" s="123"/>
    </row>
    <row r="733" spans="1:19" ht="14.25" customHeight="1" x14ac:dyDescent="0.3">
      <c r="A733" s="117"/>
      <c r="M733" s="123"/>
      <c r="S733" s="123"/>
    </row>
    <row r="734" spans="1:19" ht="14.25" customHeight="1" x14ac:dyDescent="0.3">
      <c r="A734" s="117"/>
      <c r="M734" s="123"/>
      <c r="S734" s="123"/>
    </row>
    <row r="735" spans="1:19" ht="14.25" customHeight="1" x14ac:dyDescent="0.3">
      <c r="A735" s="117"/>
      <c r="M735" s="123"/>
      <c r="S735" s="123"/>
    </row>
    <row r="736" spans="1:19" ht="14.25" customHeight="1" x14ac:dyDescent="0.3">
      <c r="A736" s="117"/>
      <c r="M736" s="123"/>
      <c r="S736" s="123"/>
    </row>
    <row r="737" spans="1:19" ht="14.25" customHeight="1" x14ac:dyDescent="0.3">
      <c r="A737" s="117"/>
      <c r="M737" s="123"/>
      <c r="S737" s="123"/>
    </row>
    <row r="738" spans="1:19" ht="14.25" customHeight="1" x14ac:dyDescent="0.3">
      <c r="A738" s="117"/>
      <c r="M738" s="123"/>
      <c r="S738" s="123"/>
    </row>
    <row r="739" spans="1:19" ht="14.25" customHeight="1" x14ac:dyDescent="0.3">
      <c r="A739" s="117"/>
      <c r="M739" s="123"/>
      <c r="S739" s="123"/>
    </row>
    <row r="740" spans="1:19" ht="14.25" customHeight="1" x14ac:dyDescent="0.3">
      <c r="A740" s="117"/>
      <c r="M740" s="123"/>
      <c r="S740" s="123"/>
    </row>
    <row r="741" spans="1:19" ht="14.25" customHeight="1" x14ac:dyDescent="0.3">
      <c r="A741" s="117"/>
      <c r="M741" s="123"/>
      <c r="S741" s="123"/>
    </row>
    <row r="742" spans="1:19" ht="14.25" customHeight="1" x14ac:dyDescent="0.3">
      <c r="A742" s="117"/>
      <c r="M742" s="123"/>
      <c r="S742" s="123"/>
    </row>
    <row r="743" spans="1:19" ht="14.25" customHeight="1" x14ac:dyDescent="0.3">
      <c r="A743" s="117"/>
      <c r="M743" s="123"/>
      <c r="S743" s="123"/>
    </row>
    <row r="744" spans="1:19" ht="14.25" customHeight="1" x14ac:dyDescent="0.3">
      <c r="A744" s="117"/>
      <c r="M744" s="123"/>
      <c r="S744" s="123"/>
    </row>
    <row r="745" spans="1:19" ht="14.25" customHeight="1" x14ac:dyDescent="0.3">
      <c r="A745" s="117"/>
      <c r="M745" s="123"/>
      <c r="S745" s="123"/>
    </row>
    <row r="746" spans="1:19" ht="14.25" customHeight="1" x14ac:dyDescent="0.3">
      <c r="A746" s="117"/>
      <c r="M746" s="123"/>
      <c r="S746" s="123"/>
    </row>
    <row r="747" spans="1:19" ht="14.25" customHeight="1" x14ac:dyDescent="0.3">
      <c r="A747" s="117"/>
      <c r="M747" s="123"/>
      <c r="S747" s="123"/>
    </row>
    <row r="748" spans="1:19" ht="14.25" customHeight="1" x14ac:dyDescent="0.3">
      <c r="A748" s="117"/>
      <c r="M748" s="123"/>
      <c r="S748" s="123"/>
    </row>
    <row r="749" spans="1:19" ht="14.25" customHeight="1" x14ac:dyDescent="0.3">
      <c r="A749" s="117"/>
      <c r="M749" s="123"/>
      <c r="S749" s="123"/>
    </row>
    <row r="750" spans="1:19" ht="14.25" customHeight="1" x14ac:dyDescent="0.3">
      <c r="A750" s="117"/>
      <c r="M750" s="123"/>
      <c r="S750" s="123"/>
    </row>
    <row r="751" spans="1:19" ht="14.25" customHeight="1" x14ac:dyDescent="0.3">
      <c r="A751" s="117"/>
      <c r="M751" s="123"/>
      <c r="S751" s="123"/>
    </row>
    <row r="752" spans="1:19" ht="14.25" customHeight="1" x14ac:dyDescent="0.3">
      <c r="A752" s="117"/>
      <c r="M752" s="123"/>
      <c r="S752" s="123"/>
    </row>
    <row r="753" spans="1:19" ht="14.25" customHeight="1" x14ac:dyDescent="0.3">
      <c r="A753" s="117"/>
      <c r="M753" s="123"/>
      <c r="S753" s="123"/>
    </row>
    <row r="754" spans="1:19" ht="14.25" customHeight="1" x14ac:dyDescent="0.3">
      <c r="A754" s="117"/>
      <c r="M754" s="123"/>
      <c r="S754" s="123"/>
    </row>
    <row r="755" spans="1:19" ht="14.25" customHeight="1" x14ac:dyDescent="0.3">
      <c r="A755" s="117"/>
      <c r="M755" s="123"/>
      <c r="S755" s="123"/>
    </row>
    <row r="756" spans="1:19" ht="14.25" customHeight="1" x14ac:dyDescent="0.3">
      <c r="A756" s="117"/>
      <c r="M756" s="123"/>
      <c r="S756" s="123"/>
    </row>
    <row r="757" spans="1:19" ht="14.25" customHeight="1" x14ac:dyDescent="0.3">
      <c r="A757" s="117"/>
      <c r="M757" s="123"/>
      <c r="S757" s="123"/>
    </row>
    <row r="758" spans="1:19" ht="14.25" customHeight="1" x14ac:dyDescent="0.3">
      <c r="A758" s="117"/>
      <c r="M758" s="123"/>
      <c r="S758" s="123"/>
    </row>
    <row r="759" spans="1:19" ht="14.25" customHeight="1" x14ac:dyDescent="0.3">
      <c r="A759" s="117"/>
      <c r="M759" s="123"/>
      <c r="S759" s="123"/>
    </row>
    <row r="760" spans="1:19" ht="14.25" customHeight="1" x14ac:dyDescent="0.3">
      <c r="A760" s="117"/>
      <c r="M760" s="123"/>
      <c r="S760" s="123"/>
    </row>
    <row r="761" spans="1:19" ht="14.25" customHeight="1" x14ac:dyDescent="0.3">
      <c r="A761" s="117"/>
      <c r="M761" s="123"/>
      <c r="S761" s="123"/>
    </row>
    <row r="762" spans="1:19" ht="14.25" customHeight="1" x14ac:dyDescent="0.3">
      <c r="A762" s="117"/>
      <c r="M762" s="123"/>
      <c r="S762" s="123"/>
    </row>
    <row r="763" spans="1:19" ht="14.25" customHeight="1" x14ac:dyDescent="0.3">
      <c r="A763" s="117"/>
      <c r="M763" s="123"/>
      <c r="S763" s="123"/>
    </row>
    <row r="764" spans="1:19" ht="14.25" customHeight="1" x14ac:dyDescent="0.3">
      <c r="A764" s="117"/>
      <c r="M764" s="123"/>
      <c r="S764" s="123"/>
    </row>
    <row r="765" spans="1:19" ht="14.25" customHeight="1" x14ac:dyDescent="0.3">
      <c r="A765" s="117"/>
      <c r="M765" s="123"/>
      <c r="S765" s="123"/>
    </row>
    <row r="766" spans="1:19" ht="14.25" customHeight="1" x14ac:dyDescent="0.3">
      <c r="A766" s="117"/>
      <c r="M766" s="123"/>
      <c r="S766" s="123"/>
    </row>
    <row r="767" spans="1:19" ht="14.25" customHeight="1" x14ac:dyDescent="0.3">
      <c r="A767" s="117"/>
      <c r="M767" s="123"/>
      <c r="S767" s="123"/>
    </row>
    <row r="768" spans="1:19" ht="14.25" customHeight="1" x14ac:dyDescent="0.3">
      <c r="A768" s="117"/>
      <c r="M768" s="123"/>
      <c r="S768" s="123"/>
    </row>
    <row r="769" spans="1:19" ht="14.25" customHeight="1" x14ac:dyDescent="0.3">
      <c r="A769" s="117"/>
      <c r="M769" s="123"/>
      <c r="S769" s="123"/>
    </row>
    <row r="770" spans="1:19" ht="14.25" customHeight="1" x14ac:dyDescent="0.3">
      <c r="A770" s="117"/>
      <c r="M770" s="123"/>
      <c r="S770" s="123"/>
    </row>
    <row r="771" spans="1:19" ht="14.25" customHeight="1" x14ac:dyDescent="0.3">
      <c r="A771" s="117"/>
      <c r="M771" s="123"/>
      <c r="S771" s="123"/>
    </row>
    <row r="772" spans="1:19" ht="14.25" customHeight="1" x14ac:dyDescent="0.3">
      <c r="A772" s="117"/>
      <c r="M772" s="123"/>
      <c r="S772" s="123"/>
    </row>
    <row r="773" spans="1:19" ht="14.25" customHeight="1" x14ac:dyDescent="0.3">
      <c r="A773" s="117"/>
      <c r="M773" s="123"/>
      <c r="S773" s="123"/>
    </row>
    <row r="774" spans="1:19" ht="14.25" customHeight="1" x14ac:dyDescent="0.3">
      <c r="A774" s="117"/>
      <c r="M774" s="123"/>
      <c r="S774" s="123"/>
    </row>
    <row r="775" spans="1:19" ht="14.25" customHeight="1" x14ac:dyDescent="0.3">
      <c r="A775" s="117"/>
      <c r="M775" s="123"/>
      <c r="S775" s="123"/>
    </row>
    <row r="776" spans="1:19" ht="14.25" customHeight="1" x14ac:dyDescent="0.3">
      <c r="A776" s="117"/>
      <c r="M776" s="123"/>
      <c r="S776" s="123"/>
    </row>
    <row r="777" spans="1:19" ht="14.25" customHeight="1" x14ac:dyDescent="0.3">
      <c r="A777" s="117"/>
      <c r="M777" s="123"/>
      <c r="S777" s="123"/>
    </row>
    <row r="778" spans="1:19" ht="14.25" customHeight="1" x14ac:dyDescent="0.3">
      <c r="A778" s="117"/>
      <c r="M778" s="123"/>
      <c r="S778" s="123"/>
    </row>
    <row r="779" spans="1:19" ht="14.25" customHeight="1" x14ac:dyDescent="0.3">
      <c r="A779" s="117"/>
      <c r="M779" s="123"/>
      <c r="S779" s="123"/>
    </row>
    <row r="780" spans="1:19" ht="14.25" customHeight="1" x14ac:dyDescent="0.3">
      <c r="A780" s="117"/>
      <c r="M780" s="123"/>
      <c r="S780" s="123"/>
    </row>
    <row r="781" spans="1:19" ht="14.25" customHeight="1" x14ac:dyDescent="0.3">
      <c r="A781" s="117"/>
      <c r="M781" s="123"/>
      <c r="S781" s="123"/>
    </row>
    <row r="782" spans="1:19" ht="14.25" customHeight="1" x14ac:dyDescent="0.3">
      <c r="A782" s="117"/>
      <c r="M782" s="123"/>
      <c r="S782" s="123"/>
    </row>
    <row r="783" spans="1:19" ht="14.25" customHeight="1" x14ac:dyDescent="0.3">
      <c r="A783" s="117"/>
      <c r="M783" s="123"/>
      <c r="S783" s="123"/>
    </row>
    <row r="784" spans="1:19" ht="14.25" customHeight="1" x14ac:dyDescent="0.3">
      <c r="A784" s="117"/>
      <c r="M784" s="123"/>
      <c r="S784" s="123"/>
    </row>
    <row r="785" spans="1:19" ht="14.25" customHeight="1" x14ac:dyDescent="0.3">
      <c r="A785" s="117"/>
      <c r="M785" s="123"/>
      <c r="S785" s="123"/>
    </row>
    <row r="786" spans="1:19" ht="14.25" customHeight="1" x14ac:dyDescent="0.3">
      <c r="A786" s="117"/>
      <c r="M786" s="123"/>
      <c r="S786" s="123"/>
    </row>
    <row r="787" spans="1:19" ht="14.25" customHeight="1" x14ac:dyDescent="0.3">
      <c r="A787" s="117"/>
      <c r="M787" s="123"/>
      <c r="S787" s="123"/>
    </row>
    <row r="788" spans="1:19" ht="14.25" customHeight="1" x14ac:dyDescent="0.3">
      <c r="A788" s="117"/>
      <c r="M788" s="123"/>
      <c r="S788" s="123"/>
    </row>
    <row r="789" spans="1:19" ht="14.25" customHeight="1" x14ac:dyDescent="0.3">
      <c r="A789" s="117"/>
      <c r="M789" s="123"/>
      <c r="S789" s="123"/>
    </row>
    <row r="790" spans="1:19" ht="14.25" customHeight="1" x14ac:dyDescent="0.3">
      <c r="A790" s="117"/>
      <c r="M790" s="123"/>
      <c r="S790" s="123"/>
    </row>
    <row r="791" spans="1:19" ht="14.25" customHeight="1" x14ac:dyDescent="0.3">
      <c r="A791" s="117"/>
      <c r="M791" s="123"/>
      <c r="S791" s="123"/>
    </row>
    <row r="792" spans="1:19" ht="14.25" customHeight="1" x14ac:dyDescent="0.3">
      <c r="A792" s="117"/>
      <c r="M792" s="123"/>
      <c r="S792" s="123"/>
    </row>
    <row r="793" spans="1:19" ht="14.25" customHeight="1" x14ac:dyDescent="0.3">
      <c r="A793" s="117"/>
      <c r="M793" s="123"/>
      <c r="S793" s="123"/>
    </row>
    <row r="794" spans="1:19" ht="14.25" customHeight="1" x14ac:dyDescent="0.3">
      <c r="A794" s="117"/>
      <c r="M794" s="123"/>
      <c r="S794" s="123"/>
    </row>
    <row r="795" spans="1:19" ht="14.25" customHeight="1" x14ac:dyDescent="0.3">
      <c r="A795" s="117"/>
      <c r="M795" s="123"/>
      <c r="S795" s="123"/>
    </row>
    <row r="796" spans="1:19" ht="14.25" customHeight="1" x14ac:dyDescent="0.3">
      <c r="A796" s="117"/>
      <c r="M796" s="123"/>
      <c r="S796" s="123"/>
    </row>
    <row r="797" spans="1:19" ht="14.25" customHeight="1" x14ac:dyDescent="0.3">
      <c r="A797" s="117"/>
      <c r="M797" s="123"/>
      <c r="S797" s="123"/>
    </row>
    <row r="798" spans="1:19" ht="14.25" customHeight="1" x14ac:dyDescent="0.3">
      <c r="A798" s="117"/>
      <c r="M798" s="123"/>
      <c r="S798" s="123"/>
    </row>
    <row r="799" spans="1:19" ht="14.25" customHeight="1" x14ac:dyDescent="0.3">
      <c r="A799" s="117"/>
      <c r="M799" s="123"/>
      <c r="S799" s="123"/>
    </row>
    <row r="800" spans="1:19" ht="14.25" customHeight="1" x14ac:dyDescent="0.3">
      <c r="A800" s="117"/>
      <c r="M800" s="123"/>
      <c r="S800" s="123"/>
    </row>
    <row r="801" spans="1:19" ht="14.25" customHeight="1" x14ac:dyDescent="0.3">
      <c r="A801" s="117"/>
      <c r="M801" s="123"/>
      <c r="S801" s="123"/>
    </row>
    <row r="802" spans="1:19" ht="14.25" customHeight="1" x14ac:dyDescent="0.3">
      <c r="A802" s="117"/>
      <c r="M802" s="123"/>
      <c r="S802" s="123"/>
    </row>
    <row r="803" spans="1:19" ht="14.25" customHeight="1" x14ac:dyDescent="0.3">
      <c r="A803" s="117"/>
      <c r="M803" s="123"/>
      <c r="S803" s="123"/>
    </row>
    <row r="804" spans="1:19" ht="14.25" customHeight="1" x14ac:dyDescent="0.3">
      <c r="A804" s="117"/>
      <c r="M804" s="123"/>
      <c r="S804" s="123"/>
    </row>
    <row r="805" spans="1:19" ht="14.25" customHeight="1" x14ac:dyDescent="0.3">
      <c r="A805" s="117"/>
      <c r="M805" s="123"/>
      <c r="S805" s="123"/>
    </row>
    <row r="806" spans="1:19" ht="14.25" customHeight="1" x14ac:dyDescent="0.3">
      <c r="A806" s="117"/>
      <c r="M806" s="123"/>
      <c r="S806" s="123"/>
    </row>
    <row r="807" spans="1:19" ht="14.25" customHeight="1" x14ac:dyDescent="0.3">
      <c r="A807" s="117"/>
      <c r="M807" s="123"/>
      <c r="S807" s="123"/>
    </row>
    <row r="808" spans="1:19" ht="14.25" customHeight="1" x14ac:dyDescent="0.3">
      <c r="A808" s="117"/>
      <c r="M808" s="123"/>
      <c r="S808" s="123"/>
    </row>
    <row r="809" spans="1:19" ht="14.25" customHeight="1" x14ac:dyDescent="0.3">
      <c r="A809" s="117"/>
      <c r="M809" s="123"/>
      <c r="S809" s="123"/>
    </row>
    <row r="810" spans="1:19" ht="14.25" customHeight="1" x14ac:dyDescent="0.3">
      <c r="A810" s="117"/>
      <c r="M810" s="123"/>
      <c r="S810" s="123"/>
    </row>
    <row r="811" spans="1:19" ht="14.25" customHeight="1" x14ac:dyDescent="0.3">
      <c r="A811" s="117"/>
      <c r="M811" s="123"/>
      <c r="S811" s="123"/>
    </row>
    <row r="812" spans="1:19" ht="14.25" customHeight="1" x14ac:dyDescent="0.3">
      <c r="A812" s="117"/>
      <c r="M812" s="123"/>
      <c r="S812" s="123"/>
    </row>
    <row r="813" spans="1:19" ht="14.25" customHeight="1" x14ac:dyDescent="0.3">
      <c r="A813" s="117"/>
      <c r="M813" s="123"/>
      <c r="S813" s="123"/>
    </row>
    <row r="814" spans="1:19" ht="14.25" customHeight="1" x14ac:dyDescent="0.3">
      <c r="A814" s="117"/>
      <c r="M814" s="123"/>
      <c r="S814" s="123"/>
    </row>
    <row r="815" spans="1:19" ht="14.25" customHeight="1" x14ac:dyDescent="0.3">
      <c r="A815" s="117"/>
      <c r="M815" s="123"/>
      <c r="S815" s="123"/>
    </row>
    <row r="816" spans="1:19" ht="14.25" customHeight="1" x14ac:dyDescent="0.3">
      <c r="A816" s="117"/>
      <c r="M816" s="123"/>
      <c r="S816" s="123"/>
    </row>
    <row r="817" spans="1:19" ht="14.25" customHeight="1" x14ac:dyDescent="0.3">
      <c r="A817" s="117"/>
      <c r="M817" s="123"/>
      <c r="S817" s="123"/>
    </row>
    <row r="818" spans="1:19" ht="14.25" customHeight="1" x14ac:dyDescent="0.3">
      <c r="A818" s="117"/>
      <c r="M818" s="123"/>
      <c r="S818" s="123"/>
    </row>
    <row r="819" spans="1:19" ht="14.25" customHeight="1" x14ac:dyDescent="0.3">
      <c r="A819" s="117"/>
      <c r="M819" s="123"/>
      <c r="S819" s="123"/>
    </row>
    <row r="820" spans="1:19" ht="14.25" customHeight="1" x14ac:dyDescent="0.3">
      <c r="A820" s="117"/>
      <c r="M820" s="123"/>
      <c r="S820" s="123"/>
    </row>
    <row r="821" spans="1:19" ht="14.25" customHeight="1" x14ac:dyDescent="0.3">
      <c r="A821" s="117"/>
      <c r="M821" s="123"/>
      <c r="S821" s="123"/>
    </row>
    <row r="822" spans="1:19" ht="14.25" customHeight="1" x14ac:dyDescent="0.3">
      <c r="A822" s="117"/>
      <c r="M822" s="123"/>
      <c r="S822" s="123"/>
    </row>
    <row r="823" spans="1:19" ht="14.25" customHeight="1" x14ac:dyDescent="0.3">
      <c r="A823" s="117"/>
      <c r="M823" s="123"/>
      <c r="S823" s="123"/>
    </row>
    <row r="824" spans="1:19" ht="14.25" customHeight="1" x14ac:dyDescent="0.3">
      <c r="A824" s="117"/>
      <c r="M824" s="123"/>
      <c r="S824" s="123"/>
    </row>
    <row r="825" spans="1:19" ht="14.25" customHeight="1" x14ac:dyDescent="0.3">
      <c r="A825" s="117"/>
      <c r="M825" s="123"/>
      <c r="S825" s="123"/>
    </row>
    <row r="826" spans="1:19" ht="14.25" customHeight="1" x14ac:dyDescent="0.3">
      <c r="A826" s="117"/>
      <c r="M826" s="123"/>
      <c r="S826" s="123"/>
    </row>
    <row r="827" spans="1:19" ht="14.25" customHeight="1" x14ac:dyDescent="0.3">
      <c r="A827" s="117"/>
      <c r="M827" s="123"/>
      <c r="S827" s="123"/>
    </row>
    <row r="828" spans="1:19" ht="14.25" customHeight="1" x14ac:dyDescent="0.3">
      <c r="A828" s="117"/>
      <c r="M828" s="123"/>
      <c r="S828" s="123"/>
    </row>
    <row r="829" spans="1:19" ht="14.25" customHeight="1" x14ac:dyDescent="0.3">
      <c r="A829" s="117"/>
      <c r="M829" s="123"/>
      <c r="S829" s="123"/>
    </row>
    <row r="830" spans="1:19" ht="14.25" customHeight="1" x14ac:dyDescent="0.3">
      <c r="A830" s="117"/>
      <c r="M830" s="123"/>
      <c r="S830" s="123"/>
    </row>
    <row r="831" spans="1:19" ht="14.25" customHeight="1" x14ac:dyDescent="0.3">
      <c r="A831" s="117"/>
      <c r="M831" s="123"/>
      <c r="S831" s="123"/>
    </row>
    <row r="832" spans="1:19" ht="14.25" customHeight="1" x14ac:dyDescent="0.3">
      <c r="A832" s="117"/>
      <c r="M832" s="123"/>
      <c r="S832" s="123"/>
    </row>
    <row r="833" spans="1:19" ht="14.25" customHeight="1" x14ac:dyDescent="0.3">
      <c r="A833" s="117"/>
      <c r="M833" s="123"/>
      <c r="S833" s="123"/>
    </row>
    <row r="834" spans="1:19" ht="14.25" customHeight="1" x14ac:dyDescent="0.3">
      <c r="A834" s="117"/>
      <c r="M834" s="123"/>
      <c r="S834" s="123"/>
    </row>
    <row r="835" spans="1:19" ht="14.25" customHeight="1" x14ac:dyDescent="0.3">
      <c r="A835" s="117"/>
      <c r="M835" s="123"/>
      <c r="S835" s="123"/>
    </row>
    <row r="836" spans="1:19" ht="14.25" customHeight="1" x14ac:dyDescent="0.3">
      <c r="A836" s="117"/>
      <c r="M836" s="123"/>
      <c r="S836" s="123"/>
    </row>
    <row r="837" spans="1:19" ht="14.25" customHeight="1" x14ac:dyDescent="0.3">
      <c r="A837" s="117"/>
      <c r="M837" s="123"/>
      <c r="S837" s="123"/>
    </row>
    <row r="838" spans="1:19" ht="14.25" customHeight="1" x14ac:dyDescent="0.3">
      <c r="A838" s="117"/>
      <c r="M838" s="123"/>
      <c r="S838" s="123"/>
    </row>
    <row r="839" spans="1:19" ht="14.25" customHeight="1" x14ac:dyDescent="0.3">
      <c r="A839" s="117"/>
      <c r="M839" s="123"/>
      <c r="S839" s="123"/>
    </row>
    <row r="840" spans="1:19" ht="14.25" customHeight="1" x14ac:dyDescent="0.3">
      <c r="A840" s="117"/>
      <c r="M840" s="123"/>
      <c r="S840" s="123"/>
    </row>
    <row r="841" spans="1:19" ht="14.25" customHeight="1" x14ac:dyDescent="0.3">
      <c r="A841" s="117"/>
      <c r="M841" s="123"/>
      <c r="S841" s="123"/>
    </row>
    <row r="842" spans="1:19" ht="14.25" customHeight="1" x14ac:dyDescent="0.3">
      <c r="A842" s="117"/>
      <c r="M842" s="123"/>
      <c r="S842" s="123"/>
    </row>
    <row r="843" spans="1:19" ht="14.25" customHeight="1" x14ac:dyDescent="0.3">
      <c r="A843" s="117"/>
      <c r="M843" s="123"/>
      <c r="S843" s="123"/>
    </row>
    <row r="844" spans="1:19" ht="14.25" customHeight="1" x14ac:dyDescent="0.3">
      <c r="A844" s="117"/>
      <c r="M844" s="123"/>
      <c r="S844" s="123"/>
    </row>
    <row r="845" spans="1:19" ht="14.25" customHeight="1" x14ac:dyDescent="0.3">
      <c r="A845" s="117"/>
      <c r="M845" s="123"/>
      <c r="S845" s="123"/>
    </row>
    <row r="846" spans="1:19" ht="14.25" customHeight="1" x14ac:dyDescent="0.3">
      <c r="A846" s="117"/>
      <c r="M846" s="123"/>
      <c r="S846" s="123"/>
    </row>
    <row r="847" spans="1:19" ht="14.25" customHeight="1" x14ac:dyDescent="0.3">
      <c r="A847" s="117"/>
      <c r="M847" s="123"/>
      <c r="S847" s="123"/>
    </row>
    <row r="848" spans="1:19" ht="14.25" customHeight="1" x14ac:dyDescent="0.3">
      <c r="A848" s="117"/>
      <c r="M848" s="123"/>
      <c r="S848" s="123"/>
    </row>
    <row r="849" spans="1:19" ht="14.25" customHeight="1" x14ac:dyDescent="0.3">
      <c r="A849" s="117"/>
      <c r="M849" s="123"/>
      <c r="S849" s="123"/>
    </row>
    <row r="850" spans="1:19" ht="14.25" customHeight="1" x14ac:dyDescent="0.3">
      <c r="A850" s="117"/>
      <c r="M850" s="123"/>
      <c r="S850" s="123"/>
    </row>
    <row r="851" spans="1:19" ht="14.25" customHeight="1" x14ac:dyDescent="0.3">
      <c r="A851" s="117"/>
      <c r="M851" s="123"/>
      <c r="S851" s="123"/>
    </row>
    <row r="852" spans="1:19" ht="14.25" customHeight="1" x14ac:dyDescent="0.3">
      <c r="A852" s="117"/>
      <c r="M852" s="123"/>
      <c r="S852" s="123"/>
    </row>
    <row r="853" spans="1:19" ht="14.25" customHeight="1" x14ac:dyDescent="0.3">
      <c r="A853" s="117"/>
      <c r="M853" s="123"/>
      <c r="S853" s="123"/>
    </row>
    <row r="854" spans="1:19" ht="14.25" customHeight="1" x14ac:dyDescent="0.3">
      <c r="A854" s="117"/>
      <c r="M854" s="123"/>
      <c r="S854" s="123"/>
    </row>
    <row r="855" spans="1:19" ht="14.25" customHeight="1" x14ac:dyDescent="0.3">
      <c r="A855" s="117"/>
      <c r="M855" s="123"/>
      <c r="S855" s="123"/>
    </row>
    <row r="856" spans="1:19" ht="14.25" customHeight="1" x14ac:dyDescent="0.3">
      <c r="A856" s="117"/>
      <c r="M856" s="123"/>
      <c r="S856" s="123"/>
    </row>
    <row r="857" spans="1:19" ht="14.25" customHeight="1" x14ac:dyDescent="0.3">
      <c r="A857" s="117"/>
      <c r="M857" s="123"/>
      <c r="S857" s="123"/>
    </row>
    <row r="858" spans="1:19" ht="14.25" customHeight="1" x14ac:dyDescent="0.3">
      <c r="A858" s="117"/>
      <c r="M858" s="123"/>
      <c r="S858" s="123"/>
    </row>
    <row r="859" spans="1:19" ht="14.25" customHeight="1" x14ac:dyDescent="0.3">
      <c r="A859" s="117"/>
      <c r="M859" s="123"/>
      <c r="S859" s="123"/>
    </row>
    <row r="860" spans="1:19" ht="14.25" customHeight="1" x14ac:dyDescent="0.3">
      <c r="A860" s="117"/>
      <c r="M860" s="123"/>
      <c r="S860" s="123"/>
    </row>
    <row r="861" spans="1:19" ht="14.25" customHeight="1" x14ac:dyDescent="0.3">
      <c r="A861" s="117"/>
      <c r="M861" s="123"/>
      <c r="S861" s="123"/>
    </row>
    <row r="862" spans="1:19" ht="14.25" customHeight="1" x14ac:dyDescent="0.3">
      <c r="A862" s="117"/>
      <c r="M862" s="123"/>
      <c r="S862" s="123"/>
    </row>
    <row r="863" spans="1:19" ht="14.25" customHeight="1" x14ac:dyDescent="0.3">
      <c r="A863" s="117"/>
      <c r="M863" s="123"/>
      <c r="S863" s="123"/>
    </row>
    <row r="864" spans="1:19" ht="14.25" customHeight="1" x14ac:dyDescent="0.3">
      <c r="A864" s="117"/>
      <c r="M864" s="123"/>
      <c r="S864" s="123"/>
    </row>
    <row r="865" spans="1:19" ht="14.25" customHeight="1" x14ac:dyDescent="0.3">
      <c r="A865" s="117"/>
      <c r="M865" s="123"/>
      <c r="S865" s="123"/>
    </row>
    <row r="866" spans="1:19" ht="14.25" customHeight="1" x14ac:dyDescent="0.3">
      <c r="A866" s="117"/>
      <c r="M866" s="123"/>
      <c r="S866" s="123"/>
    </row>
    <row r="867" spans="1:19" ht="14.25" customHeight="1" x14ac:dyDescent="0.3">
      <c r="A867" s="117"/>
      <c r="M867" s="123"/>
      <c r="S867" s="123"/>
    </row>
    <row r="868" spans="1:19" ht="14.25" customHeight="1" x14ac:dyDescent="0.3">
      <c r="A868" s="117"/>
      <c r="M868" s="123"/>
      <c r="S868" s="123"/>
    </row>
    <row r="869" spans="1:19" ht="14.25" customHeight="1" x14ac:dyDescent="0.3">
      <c r="A869" s="117"/>
      <c r="M869" s="123"/>
      <c r="S869" s="123"/>
    </row>
    <row r="870" spans="1:19" ht="14.25" customHeight="1" x14ac:dyDescent="0.3">
      <c r="A870" s="117"/>
      <c r="M870" s="123"/>
      <c r="S870" s="123"/>
    </row>
    <row r="871" spans="1:19" ht="14.25" customHeight="1" x14ac:dyDescent="0.3">
      <c r="A871" s="117"/>
      <c r="M871" s="123"/>
      <c r="S871" s="123"/>
    </row>
    <row r="872" spans="1:19" ht="14.25" customHeight="1" x14ac:dyDescent="0.3">
      <c r="A872" s="117"/>
      <c r="M872" s="123"/>
      <c r="S872" s="123"/>
    </row>
    <row r="873" spans="1:19" ht="14.25" customHeight="1" x14ac:dyDescent="0.3">
      <c r="A873" s="117"/>
      <c r="M873" s="123"/>
      <c r="S873" s="123"/>
    </row>
    <row r="874" spans="1:19" ht="14.25" customHeight="1" x14ac:dyDescent="0.3">
      <c r="A874" s="117"/>
      <c r="M874" s="123"/>
      <c r="S874" s="123"/>
    </row>
    <row r="875" spans="1:19" ht="14.25" customHeight="1" x14ac:dyDescent="0.3">
      <c r="A875" s="117"/>
      <c r="M875" s="123"/>
      <c r="S875" s="123"/>
    </row>
    <row r="876" spans="1:19" ht="14.25" customHeight="1" x14ac:dyDescent="0.3">
      <c r="A876" s="117"/>
      <c r="M876" s="123"/>
      <c r="S876" s="123"/>
    </row>
    <row r="877" spans="1:19" ht="14.25" customHeight="1" x14ac:dyDescent="0.3">
      <c r="A877" s="117"/>
      <c r="M877" s="123"/>
      <c r="S877" s="123"/>
    </row>
    <row r="878" spans="1:19" ht="14.25" customHeight="1" x14ac:dyDescent="0.3">
      <c r="A878" s="117"/>
      <c r="M878" s="123"/>
      <c r="S878" s="123"/>
    </row>
    <row r="879" spans="1:19" ht="14.25" customHeight="1" x14ac:dyDescent="0.3">
      <c r="A879" s="117"/>
      <c r="M879" s="123"/>
      <c r="S879" s="123"/>
    </row>
    <row r="880" spans="1:19" ht="14.25" customHeight="1" x14ac:dyDescent="0.3">
      <c r="A880" s="117"/>
      <c r="M880" s="123"/>
      <c r="S880" s="123"/>
    </row>
    <row r="881" spans="1:19" ht="14.25" customHeight="1" x14ac:dyDescent="0.3">
      <c r="A881" s="117"/>
      <c r="M881" s="123"/>
      <c r="S881" s="123"/>
    </row>
    <row r="882" spans="1:19" ht="14.25" customHeight="1" x14ac:dyDescent="0.3">
      <c r="A882" s="117"/>
      <c r="M882" s="123"/>
      <c r="S882" s="123"/>
    </row>
    <row r="883" spans="1:19" ht="14.25" customHeight="1" x14ac:dyDescent="0.3">
      <c r="A883" s="117"/>
      <c r="M883" s="123"/>
      <c r="S883" s="123"/>
    </row>
    <row r="884" spans="1:19" ht="14.25" customHeight="1" x14ac:dyDescent="0.3">
      <c r="A884" s="117"/>
      <c r="M884" s="123"/>
      <c r="S884" s="123"/>
    </row>
    <row r="885" spans="1:19" ht="14.25" customHeight="1" x14ac:dyDescent="0.3">
      <c r="A885" s="117"/>
      <c r="M885" s="123"/>
      <c r="S885" s="123"/>
    </row>
    <row r="886" spans="1:19" ht="14.25" customHeight="1" x14ac:dyDescent="0.3">
      <c r="A886" s="117"/>
      <c r="M886" s="123"/>
      <c r="S886" s="123"/>
    </row>
    <row r="887" spans="1:19" ht="14.25" customHeight="1" x14ac:dyDescent="0.3">
      <c r="A887" s="117"/>
      <c r="M887" s="123"/>
      <c r="S887" s="123"/>
    </row>
    <row r="888" spans="1:19" ht="14.25" customHeight="1" x14ac:dyDescent="0.3">
      <c r="A888" s="117"/>
      <c r="M888" s="123"/>
      <c r="S888" s="123"/>
    </row>
    <row r="889" spans="1:19" ht="14.25" customHeight="1" x14ac:dyDescent="0.3">
      <c r="A889" s="117"/>
      <c r="M889" s="123"/>
      <c r="S889" s="123"/>
    </row>
    <row r="890" spans="1:19" ht="14.25" customHeight="1" x14ac:dyDescent="0.3">
      <c r="A890" s="117"/>
      <c r="M890" s="123"/>
      <c r="S890" s="123"/>
    </row>
    <row r="891" spans="1:19" ht="14.25" customHeight="1" x14ac:dyDescent="0.3">
      <c r="A891" s="117"/>
      <c r="M891" s="123"/>
      <c r="S891" s="123"/>
    </row>
    <row r="892" spans="1:19" ht="14.25" customHeight="1" x14ac:dyDescent="0.3">
      <c r="A892" s="117"/>
      <c r="M892" s="123"/>
      <c r="S892" s="123"/>
    </row>
    <row r="893" spans="1:19" ht="14.25" customHeight="1" x14ac:dyDescent="0.3">
      <c r="A893" s="117"/>
      <c r="M893" s="123"/>
      <c r="S893" s="123"/>
    </row>
    <row r="894" spans="1:19" ht="14.25" customHeight="1" x14ac:dyDescent="0.3">
      <c r="A894" s="117"/>
      <c r="M894" s="123"/>
      <c r="S894" s="123"/>
    </row>
    <row r="895" spans="1:19" ht="14.25" customHeight="1" x14ac:dyDescent="0.3">
      <c r="A895" s="117"/>
      <c r="M895" s="123"/>
      <c r="S895" s="123"/>
    </row>
    <row r="896" spans="1:19" ht="14.25" customHeight="1" x14ac:dyDescent="0.3">
      <c r="A896" s="117"/>
      <c r="M896" s="123"/>
      <c r="S896" s="123"/>
    </row>
    <row r="897" spans="1:19" ht="14.25" customHeight="1" x14ac:dyDescent="0.3">
      <c r="A897" s="117"/>
      <c r="M897" s="123"/>
      <c r="S897" s="123"/>
    </row>
    <row r="898" spans="1:19" ht="14.25" customHeight="1" x14ac:dyDescent="0.3">
      <c r="A898" s="117"/>
      <c r="M898" s="123"/>
      <c r="S898" s="123"/>
    </row>
    <row r="899" spans="1:19" ht="14.25" customHeight="1" x14ac:dyDescent="0.3">
      <c r="A899" s="117"/>
      <c r="M899" s="123"/>
      <c r="S899" s="123"/>
    </row>
    <row r="900" spans="1:19" ht="14.25" customHeight="1" x14ac:dyDescent="0.3">
      <c r="A900" s="117"/>
      <c r="M900" s="123"/>
      <c r="S900" s="123"/>
    </row>
    <row r="901" spans="1:19" ht="14.25" customHeight="1" x14ac:dyDescent="0.3">
      <c r="A901" s="117"/>
      <c r="M901" s="123"/>
      <c r="S901" s="123"/>
    </row>
    <row r="902" spans="1:19" ht="14.25" customHeight="1" x14ac:dyDescent="0.3">
      <c r="A902" s="117"/>
      <c r="M902" s="123"/>
      <c r="S902" s="123"/>
    </row>
    <row r="903" spans="1:19" ht="14.25" customHeight="1" x14ac:dyDescent="0.3">
      <c r="A903" s="117"/>
      <c r="M903" s="123"/>
      <c r="S903" s="123"/>
    </row>
    <row r="904" spans="1:19" ht="14.25" customHeight="1" x14ac:dyDescent="0.3">
      <c r="A904" s="117"/>
      <c r="M904" s="123"/>
      <c r="S904" s="123"/>
    </row>
    <row r="905" spans="1:19" ht="14.25" customHeight="1" x14ac:dyDescent="0.3">
      <c r="A905" s="117"/>
      <c r="M905" s="123"/>
      <c r="S905" s="123"/>
    </row>
    <row r="906" spans="1:19" ht="14.25" customHeight="1" x14ac:dyDescent="0.3">
      <c r="A906" s="117"/>
      <c r="M906" s="123"/>
      <c r="S906" s="123"/>
    </row>
    <row r="907" spans="1:19" ht="14.25" customHeight="1" x14ac:dyDescent="0.3">
      <c r="A907" s="117"/>
      <c r="M907" s="123"/>
      <c r="S907" s="123"/>
    </row>
    <row r="908" spans="1:19" ht="14.25" customHeight="1" x14ac:dyDescent="0.3">
      <c r="A908" s="117"/>
      <c r="M908" s="123"/>
      <c r="S908" s="123"/>
    </row>
    <row r="909" spans="1:19" ht="14.25" customHeight="1" x14ac:dyDescent="0.3">
      <c r="A909" s="117"/>
      <c r="M909" s="123"/>
      <c r="S909" s="123"/>
    </row>
    <row r="910" spans="1:19" ht="14.25" customHeight="1" x14ac:dyDescent="0.3">
      <c r="A910" s="117"/>
      <c r="M910" s="123"/>
      <c r="S910" s="123"/>
    </row>
    <row r="911" spans="1:19" ht="14.25" customHeight="1" x14ac:dyDescent="0.3">
      <c r="A911" s="117"/>
      <c r="M911" s="123"/>
      <c r="S911" s="123"/>
    </row>
    <row r="912" spans="1:19" ht="14.25" customHeight="1" x14ac:dyDescent="0.3">
      <c r="A912" s="117"/>
      <c r="M912" s="123"/>
      <c r="S912" s="123"/>
    </row>
    <row r="913" spans="1:19" ht="14.25" customHeight="1" x14ac:dyDescent="0.3">
      <c r="A913" s="117"/>
      <c r="M913" s="123"/>
      <c r="S913" s="123"/>
    </row>
    <row r="914" spans="1:19" ht="14.25" customHeight="1" x14ac:dyDescent="0.3">
      <c r="A914" s="117"/>
      <c r="M914" s="123"/>
      <c r="S914" s="123"/>
    </row>
    <row r="915" spans="1:19" ht="14.25" customHeight="1" x14ac:dyDescent="0.3">
      <c r="A915" s="117"/>
      <c r="M915" s="123"/>
      <c r="S915" s="123"/>
    </row>
    <row r="916" spans="1:19" ht="14.25" customHeight="1" x14ac:dyDescent="0.3">
      <c r="A916" s="117"/>
      <c r="M916" s="123"/>
      <c r="S916" s="123"/>
    </row>
    <row r="917" spans="1:19" ht="14.25" customHeight="1" x14ac:dyDescent="0.3">
      <c r="A917" s="117"/>
      <c r="M917" s="123"/>
      <c r="S917" s="123"/>
    </row>
    <row r="918" spans="1:19" ht="14.25" customHeight="1" x14ac:dyDescent="0.3">
      <c r="A918" s="117"/>
      <c r="M918" s="123"/>
      <c r="S918" s="123"/>
    </row>
    <row r="919" spans="1:19" ht="14.25" customHeight="1" x14ac:dyDescent="0.3">
      <c r="A919" s="117"/>
      <c r="M919" s="123"/>
      <c r="S919" s="123"/>
    </row>
    <row r="920" spans="1:19" ht="14.25" customHeight="1" x14ac:dyDescent="0.3">
      <c r="A920" s="117"/>
      <c r="M920" s="123"/>
      <c r="S920" s="123"/>
    </row>
    <row r="921" spans="1:19" ht="14.25" customHeight="1" x14ac:dyDescent="0.3">
      <c r="A921" s="117"/>
      <c r="M921" s="123"/>
      <c r="S921" s="123"/>
    </row>
    <row r="922" spans="1:19" ht="14.25" customHeight="1" x14ac:dyDescent="0.3">
      <c r="A922" s="117"/>
      <c r="M922" s="123"/>
      <c r="S922" s="123"/>
    </row>
    <row r="923" spans="1:19" ht="14.25" customHeight="1" x14ac:dyDescent="0.3">
      <c r="A923" s="117"/>
      <c r="M923" s="123"/>
      <c r="S923" s="123"/>
    </row>
    <row r="924" spans="1:19" ht="14.25" customHeight="1" x14ac:dyDescent="0.3">
      <c r="A924" s="117"/>
      <c r="M924" s="123"/>
      <c r="S924" s="123"/>
    </row>
    <row r="925" spans="1:19" ht="14.25" customHeight="1" x14ac:dyDescent="0.3">
      <c r="A925" s="117"/>
      <c r="M925" s="123"/>
      <c r="S925" s="123"/>
    </row>
    <row r="926" spans="1:19" ht="14.25" customHeight="1" x14ac:dyDescent="0.3">
      <c r="A926" s="117"/>
      <c r="M926" s="123"/>
      <c r="S926" s="123"/>
    </row>
    <row r="927" spans="1:19" ht="14.25" customHeight="1" x14ac:dyDescent="0.3">
      <c r="A927" s="117"/>
      <c r="M927" s="123"/>
      <c r="S927" s="123"/>
    </row>
    <row r="928" spans="1:19" ht="14.25" customHeight="1" x14ac:dyDescent="0.3">
      <c r="A928" s="117"/>
      <c r="M928" s="123"/>
      <c r="S928" s="123"/>
    </row>
    <row r="929" spans="1:19" ht="14.25" customHeight="1" x14ac:dyDescent="0.3">
      <c r="A929" s="117"/>
      <c r="M929" s="123"/>
      <c r="S929" s="123"/>
    </row>
    <row r="930" spans="1:19" ht="14.25" customHeight="1" x14ac:dyDescent="0.3">
      <c r="A930" s="117"/>
      <c r="M930" s="123"/>
      <c r="S930" s="123"/>
    </row>
    <row r="931" spans="1:19" ht="14.25" customHeight="1" x14ac:dyDescent="0.3">
      <c r="A931" s="117"/>
      <c r="M931" s="123"/>
      <c r="S931" s="123"/>
    </row>
    <row r="932" spans="1:19" ht="14.25" customHeight="1" x14ac:dyDescent="0.3">
      <c r="A932" s="117"/>
      <c r="M932" s="123"/>
      <c r="S932" s="123"/>
    </row>
    <row r="933" spans="1:19" ht="14.25" customHeight="1" x14ac:dyDescent="0.3">
      <c r="A933" s="117"/>
      <c r="M933" s="123"/>
      <c r="S933" s="123"/>
    </row>
    <row r="934" spans="1:19" ht="14.25" customHeight="1" x14ac:dyDescent="0.3">
      <c r="A934" s="117"/>
      <c r="M934" s="123"/>
      <c r="S934" s="123"/>
    </row>
    <row r="935" spans="1:19" ht="14.25" customHeight="1" x14ac:dyDescent="0.3">
      <c r="A935" s="117"/>
      <c r="M935" s="123"/>
      <c r="S935" s="123"/>
    </row>
    <row r="936" spans="1:19" ht="14.25" customHeight="1" x14ac:dyDescent="0.3">
      <c r="A936" s="117"/>
      <c r="M936" s="123"/>
      <c r="S936" s="123"/>
    </row>
    <row r="937" spans="1:19" ht="14.25" customHeight="1" x14ac:dyDescent="0.3">
      <c r="A937" s="117"/>
      <c r="M937" s="123"/>
      <c r="S937" s="123"/>
    </row>
    <row r="938" spans="1:19" ht="14.25" customHeight="1" x14ac:dyDescent="0.3">
      <c r="A938" s="117"/>
      <c r="M938" s="123"/>
      <c r="S938" s="123"/>
    </row>
    <row r="939" spans="1:19" ht="14.25" customHeight="1" x14ac:dyDescent="0.3">
      <c r="A939" s="117"/>
      <c r="M939" s="123"/>
      <c r="S939" s="123"/>
    </row>
    <row r="940" spans="1:19" ht="14.25" customHeight="1" x14ac:dyDescent="0.3">
      <c r="A940" s="117"/>
      <c r="M940" s="123"/>
      <c r="S940" s="123"/>
    </row>
    <row r="941" spans="1:19" ht="14.25" customHeight="1" x14ac:dyDescent="0.3">
      <c r="A941" s="117"/>
      <c r="M941" s="123"/>
      <c r="S941" s="123"/>
    </row>
    <row r="942" spans="1:19" ht="14.25" customHeight="1" x14ac:dyDescent="0.3">
      <c r="A942" s="117"/>
      <c r="M942" s="123"/>
      <c r="S942" s="123"/>
    </row>
    <row r="943" spans="1:19" ht="14.25" customHeight="1" x14ac:dyDescent="0.3">
      <c r="A943" s="117"/>
      <c r="M943" s="123"/>
      <c r="S943" s="123"/>
    </row>
    <row r="944" spans="1:19" ht="14.25" customHeight="1" x14ac:dyDescent="0.3">
      <c r="A944" s="117"/>
      <c r="M944" s="123"/>
      <c r="S944" s="123"/>
    </row>
    <row r="945" spans="1:19" ht="14.25" customHeight="1" x14ac:dyDescent="0.3">
      <c r="A945" s="117"/>
      <c r="M945" s="123"/>
      <c r="S945" s="123"/>
    </row>
    <row r="946" spans="1:19" ht="14.25" customHeight="1" x14ac:dyDescent="0.3">
      <c r="A946" s="117"/>
      <c r="M946" s="123"/>
      <c r="S946" s="123"/>
    </row>
    <row r="947" spans="1:19" ht="14.25" customHeight="1" x14ac:dyDescent="0.3">
      <c r="A947" s="117"/>
      <c r="M947" s="123"/>
      <c r="S947" s="123"/>
    </row>
    <row r="948" spans="1:19" ht="14.25" customHeight="1" x14ac:dyDescent="0.3">
      <c r="A948" s="117"/>
      <c r="M948" s="123"/>
      <c r="S948" s="123"/>
    </row>
    <row r="949" spans="1:19" ht="14.25" customHeight="1" x14ac:dyDescent="0.3">
      <c r="A949" s="117"/>
      <c r="M949" s="123"/>
      <c r="S949" s="123"/>
    </row>
    <row r="950" spans="1:19" ht="14.25" customHeight="1" x14ac:dyDescent="0.3">
      <c r="A950" s="117"/>
      <c r="M950" s="123"/>
      <c r="S950" s="123"/>
    </row>
    <row r="951" spans="1:19" ht="14.25" customHeight="1" x14ac:dyDescent="0.3">
      <c r="A951" s="117"/>
      <c r="M951" s="123"/>
      <c r="S951" s="123"/>
    </row>
    <row r="952" spans="1:19" ht="14.25" customHeight="1" x14ac:dyDescent="0.3">
      <c r="A952" s="117"/>
      <c r="M952" s="123"/>
      <c r="S952" s="123"/>
    </row>
    <row r="953" spans="1:19" ht="14.25" customHeight="1" x14ac:dyDescent="0.3">
      <c r="A953" s="117"/>
      <c r="M953" s="123"/>
      <c r="S953" s="123"/>
    </row>
    <row r="954" spans="1:19" ht="14.25" customHeight="1" x14ac:dyDescent="0.3">
      <c r="A954" s="117"/>
      <c r="M954" s="123"/>
      <c r="S954" s="123"/>
    </row>
    <row r="955" spans="1:19" ht="14.25" customHeight="1" x14ac:dyDescent="0.3">
      <c r="A955" s="117"/>
      <c r="M955" s="123"/>
      <c r="S955" s="123"/>
    </row>
    <row r="956" spans="1:19" ht="14.25" customHeight="1" x14ac:dyDescent="0.3">
      <c r="A956" s="117"/>
      <c r="M956" s="123"/>
      <c r="S956" s="123"/>
    </row>
    <row r="957" spans="1:19" ht="14.25" customHeight="1" x14ac:dyDescent="0.3">
      <c r="A957" s="117"/>
      <c r="M957" s="123"/>
      <c r="S957" s="123"/>
    </row>
    <row r="958" spans="1:19" ht="14.25" customHeight="1" x14ac:dyDescent="0.3">
      <c r="A958" s="117"/>
      <c r="M958" s="123"/>
      <c r="S958" s="123"/>
    </row>
    <row r="959" spans="1:19" ht="14.25" customHeight="1" x14ac:dyDescent="0.3">
      <c r="A959" s="117"/>
      <c r="M959" s="123"/>
      <c r="S959" s="123"/>
    </row>
    <row r="960" spans="1:19" ht="14.25" customHeight="1" x14ac:dyDescent="0.3">
      <c r="A960" s="117"/>
      <c r="M960" s="123"/>
      <c r="S960" s="123"/>
    </row>
    <row r="961" spans="1:19" ht="14.25" customHeight="1" x14ac:dyDescent="0.3">
      <c r="A961" s="117"/>
      <c r="M961" s="123"/>
      <c r="S961" s="123"/>
    </row>
    <row r="962" spans="1:19" ht="14.25" customHeight="1" x14ac:dyDescent="0.3">
      <c r="A962" s="117"/>
      <c r="M962" s="123"/>
      <c r="S962" s="123"/>
    </row>
    <row r="963" spans="1:19" ht="14.25" customHeight="1" x14ac:dyDescent="0.3">
      <c r="A963" s="117"/>
      <c r="M963" s="123"/>
      <c r="S963" s="123"/>
    </row>
    <row r="964" spans="1:19" ht="14.25" customHeight="1" x14ac:dyDescent="0.3">
      <c r="A964" s="117"/>
      <c r="M964" s="123"/>
      <c r="S964" s="123"/>
    </row>
    <row r="965" spans="1:19" ht="14.25" customHeight="1" x14ac:dyDescent="0.3">
      <c r="A965" s="117"/>
      <c r="M965" s="123"/>
      <c r="S965" s="123"/>
    </row>
    <row r="966" spans="1:19" ht="14.25" customHeight="1" x14ac:dyDescent="0.3">
      <c r="A966" s="117"/>
      <c r="M966" s="123"/>
      <c r="S966" s="123"/>
    </row>
    <row r="967" spans="1:19" ht="14.25" customHeight="1" x14ac:dyDescent="0.3">
      <c r="A967" s="117"/>
      <c r="M967" s="123"/>
      <c r="S967" s="123"/>
    </row>
    <row r="968" spans="1:19" ht="14.25" customHeight="1" x14ac:dyDescent="0.3">
      <c r="A968" s="117"/>
      <c r="M968" s="123"/>
      <c r="S968" s="123"/>
    </row>
    <row r="969" spans="1:19" ht="14.25" customHeight="1" x14ac:dyDescent="0.3">
      <c r="A969" s="117"/>
      <c r="M969" s="123"/>
      <c r="S969" s="123"/>
    </row>
    <row r="970" spans="1:19" ht="14.25" customHeight="1" x14ac:dyDescent="0.3">
      <c r="A970" s="117"/>
      <c r="M970" s="123"/>
      <c r="S970" s="123"/>
    </row>
    <row r="971" spans="1:19" ht="14.25" customHeight="1" x14ac:dyDescent="0.3">
      <c r="A971" s="117"/>
      <c r="M971" s="123"/>
      <c r="S971" s="123"/>
    </row>
    <row r="972" spans="1:19" ht="14.25" customHeight="1" x14ac:dyDescent="0.3">
      <c r="A972" s="117"/>
      <c r="M972" s="123"/>
      <c r="S972" s="123"/>
    </row>
    <row r="973" spans="1:19" ht="14.25" customHeight="1" x14ac:dyDescent="0.3">
      <c r="A973" s="117"/>
      <c r="M973" s="123"/>
      <c r="S973" s="123"/>
    </row>
    <row r="974" spans="1:19" ht="14.25" customHeight="1" x14ac:dyDescent="0.3">
      <c r="A974" s="117"/>
      <c r="M974" s="123"/>
      <c r="S974" s="123"/>
    </row>
    <row r="975" spans="1:19" ht="14.25" customHeight="1" x14ac:dyDescent="0.3">
      <c r="A975" s="117"/>
      <c r="M975" s="123"/>
      <c r="S975" s="123"/>
    </row>
    <row r="976" spans="1:19" ht="14.25" customHeight="1" x14ac:dyDescent="0.3">
      <c r="A976" s="117"/>
      <c r="M976" s="123"/>
      <c r="S976" s="123"/>
    </row>
    <row r="977" spans="1:19" ht="14.25" customHeight="1" x14ac:dyDescent="0.3">
      <c r="A977" s="117"/>
      <c r="M977" s="123"/>
      <c r="S977" s="123"/>
    </row>
    <row r="978" spans="1:19" ht="14.25" customHeight="1" x14ac:dyDescent="0.3">
      <c r="A978" s="117"/>
      <c r="M978" s="123"/>
      <c r="S978" s="123"/>
    </row>
    <row r="979" spans="1:19" ht="14.25" customHeight="1" x14ac:dyDescent="0.3">
      <c r="A979" s="117"/>
      <c r="M979" s="123"/>
      <c r="S979" s="123"/>
    </row>
    <row r="980" spans="1:19" ht="14.25" customHeight="1" x14ac:dyDescent="0.3">
      <c r="A980" s="117"/>
      <c r="M980" s="123"/>
      <c r="S980" s="123"/>
    </row>
    <row r="981" spans="1:19" ht="14.25" customHeight="1" x14ac:dyDescent="0.3">
      <c r="A981" s="117"/>
      <c r="M981" s="123"/>
      <c r="S981" s="123"/>
    </row>
    <row r="982" spans="1:19" ht="14.25" customHeight="1" x14ac:dyDescent="0.3">
      <c r="A982" s="117"/>
      <c r="M982" s="123"/>
      <c r="S982" s="123"/>
    </row>
    <row r="983" spans="1:19" ht="14.25" customHeight="1" x14ac:dyDescent="0.3">
      <c r="A983" s="117"/>
      <c r="M983" s="123"/>
      <c r="S983" s="123"/>
    </row>
    <row r="984" spans="1:19" ht="14.25" customHeight="1" x14ac:dyDescent="0.3">
      <c r="A984" s="117"/>
      <c r="M984" s="123"/>
      <c r="S984" s="123"/>
    </row>
    <row r="985" spans="1:19" ht="14.25" customHeight="1" x14ac:dyDescent="0.3">
      <c r="A985" s="117"/>
      <c r="M985" s="123"/>
      <c r="S985" s="123"/>
    </row>
    <row r="986" spans="1:19" ht="14.25" customHeight="1" x14ac:dyDescent="0.3">
      <c r="A986" s="117"/>
      <c r="M986" s="123"/>
      <c r="S986" s="123"/>
    </row>
    <row r="987" spans="1:19" ht="14.25" customHeight="1" x14ac:dyDescent="0.3">
      <c r="A987" s="117"/>
      <c r="M987" s="123"/>
      <c r="S987" s="123"/>
    </row>
    <row r="988" spans="1:19" ht="14.25" customHeight="1" x14ac:dyDescent="0.3">
      <c r="A988" s="117"/>
      <c r="M988" s="123"/>
      <c r="S988" s="123"/>
    </row>
    <row r="989" spans="1:19" ht="14.25" customHeight="1" x14ac:dyDescent="0.3">
      <c r="A989" s="117"/>
      <c r="M989" s="123"/>
      <c r="S989" s="123"/>
    </row>
    <row r="990" spans="1:19" ht="14.25" customHeight="1" x14ac:dyDescent="0.3">
      <c r="A990" s="117"/>
      <c r="M990" s="123"/>
      <c r="S990" s="123"/>
    </row>
    <row r="991" spans="1:19" ht="14.25" customHeight="1" x14ac:dyDescent="0.3">
      <c r="A991" s="117"/>
      <c r="M991" s="123"/>
      <c r="S991" s="123"/>
    </row>
    <row r="992" spans="1:19" ht="14.25" customHeight="1" x14ac:dyDescent="0.3">
      <c r="A992" s="117"/>
      <c r="M992" s="123"/>
      <c r="S992" s="123"/>
    </row>
    <row r="993" spans="1:19" ht="14.25" customHeight="1" x14ac:dyDescent="0.3">
      <c r="A993" s="117"/>
      <c r="M993" s="123"/>
      <c r="S993" s="123"/>
    </row>
    <row r="994" spans="1:19" ht="14.25" customHeight="1" x14ac:dyDescent="0.3">
      <c r="A994" s="117"/>
      <c r="M994" s="123"/>
      <c r="S994" s="123"/>
    </row>
    <row r="995" spans="1:19" ht="14.25" customHeight="1" x14ac:dyDescent="0.3">
      <c r="A995" s="117"/>
      <c r="M995" s="123"/>
      <c r="S995" s="123"/>
    </row>
    <row r="996" spans="1:19" ht="14.25" customHeight="1" x14ac:dyDescent="0.3">
      <c r="A996" s="117"/>
      <c r="M996" s="123"/>
      <c r="S996" s="123"/>
    </row>
    <row r="997" spans="1:19" ht="14.25" customHeight="1" x14ac:dyDescent="0.3">
      <c r="A997" s="117"/>
      <c r="M997" s="123"/>
      <c r="S997" s="123"/>
    </row>
    <row r="998" spans="1:19" ht="14.25" customHeight="1" x14ac:dyDescent="0.3">
      <c r="A998" s="117"/>
      <c r="M998" s="123"/>
      <c r="S998" s="123"/>
    </row>
    <row r="999" spans="1:19" ht="14.25" customHeight="1" x14ac:dyDescent="0.3">
      <c r="A999" s="117"/>
      <c r="M999" s="123"/>
      <c r="S999" s="123"/>
    </row>
    <row r="1000" spans="1:19" ht="14.25" customHeight="1" x14ac:dyDescent="0.3">
      <c r="A1000" s="117"/>
      <c r="M1000" s="123"/>
      <c r="S1000" s="123"/>
    </row>
    <row r="1001" spans="1:19" ht="14.25" customHeight="1" x14ac:dyDescent="0.3">
      <c r="A1001" s="117"/>
      <c r="M1001" s="123"/>
      <c r="S1001" s="123"/>
    </row>
  </sheetData>
  <mergeCells count="29">
    <mergeCell ref="D71:F71"/>
    <mergeCell ref="D75:F75"/>
    <mergeCell ref="G63:H63"/>
    <mergeCell ref="D53:E53"/>
    <mergeCell ref="D54:E54"/>
    <mergeCell ref="D69:F69"/>
    <mergeCell ref="D70:F70"/>
    <mergeCell ref="G69:I69"/>
    <mergeCell ref="D56:E56"/>
    <mergeCell ref="D57:E57"/>
    <mergeCell ref="B68:E68"/>
    <mergeCell ref="H52:H54"/>
    <mergeCell ref="H55:H57"/>
    <mergeCell ref="G59:I59"/>
    <mergeCell ref="G67:H67"/>
    <mergeCell ref="G68:H68"/>
    <mergeCell ref="G61:H61"/>
    <mergeCell ref="G62:H62"/>
    <mergeCell ref="A2:I2"/>
    <mergeCell ref="A3:I3"/>
    <mergeCell ref="A4:I4"/>
    <mergeCell ref="B7:F7"/>
    <mergeCell ref="H8:H29"/>
    <mergeCell ref="D29:E29"/>
    <mergeCell ref="D30:E30"/>
    <mergeCell ref="D31:E31"/>
    <mergeCell ref="H32:H50"/>
    <mergeCell ref="D38:E38"/>
    <mergeCell ref="D50:E50"/>
  </mergeCells>
  <hyperlinks>
    <hyperlink ref="G53" r:id="rId1" xr:uid="{00000000-0004-0000-0100-000000000000}"/>
    <hyperlink ref="G54" r:id="rId2" xr:uid="{00000000-0004-0000-0100-000001000000}"/>
    <hyperlink ref="G30" r:id="rId3" xr:uid="{00000000-0004-0000-0100-000002000000}"/>
    <hyperlink ref="G31" r:id="rId4" xr:uid="{00000000-0004-0000-0100-000003000000}"/>
    <hyperlink ref="G9" r:id="rId5" xr:uid="{00000000-0004-0000-0100-000004000000}"/>
    <hyperlink ref="G29" r:id="rId6" xr:uid="{00000000-0004-0000-0100-000005000000}"/>
    <hyperlink ref="G15" r:id="rId7" xr:uid="{00000000-0004-0000-0100-000006000000}"/>
    <hyperlink ref="D25" r:id="rId8" xr:uid="{00000000-0004-0000-0100-000007000000}"/>
  </hyperlinks>
  <pageMargins left="0.47244094488188998" right="0.15748031496063" top="0.59055118110236204" bottom="1.03" header="0" footer="0"/>
  <pageSetup scale="54" orientation="portrait" r:id="rId9"/>
  <colBreaks count="1" manualBreakCount="1">
    <brk id="8" man="1"/>
  </colBrea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/>
  </sheetViews>
  <sheetFormatPr defaultColWidth="14.44140625" defaultRowHeight="15" customHeight="1" x14ac:dyDescent="0.3"/>
  <cols>
    <col min="1" max="1" width="3.6640625" customWidth="1"/>
    <col min="2" max="2" width="3.44140625" customWidth="1"/>
    <col min="3" max="3" width="13.33203125" customWidth="1"/>
    <col min="4" max="4" width="4.33203125" customWidth="1"/>
    <col min="5" max="5" width="36.33203125" customWidth="1"/>
    <col min="6" max="6" width="4.5546875" customWidth="1"/>
    <col min="7" max="8" width="4.33203125" customWidth="1"/>
    <col min="9" max="9" width="14.44140625" customWidth="1"/>
    <col min="10" max="10" width="5.33203125" customWidth="1"/>
    <col min="11" max="11" width="9.33203125" customWidth="1"/>
    <col min="12" max="12" width="16.6640625" customWidth="1"/>
    <col min="13" max="13" width="13.5546875" customWidth="1"/>
    <col min="14" max="26" width="9.33203125" customWidth="1"/>
  </cols>
  <sheetData>
    <row r="1" spans="1:26" ht="15.6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36" t="s">
        <v>94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399999999999999" x14ac:dyDescent="0.3">
      <c r="A2" s="218" t="s">
        <v>95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ht="17.399999999999999" x14ac:dyDescent="0.3">
      <c r="A3" s="218" t="s">
        <v>96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ht="15" customHeight="1" x14ac:dyDescent="0.3">
      <c r="A5" s="220" t="s">
        <v>97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x14ac:dyDescent="0.3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8.25" customHeight="1" x14ac:dyDescent="0.3">
      <c r="A7" s="39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8" customHeight="1" x14ac:dyDescent="0.3">
      <c r="A8" s="37">
        <v>1</v>
      </c>
      <c r="B8" s="39" t="s">
        <v>98</v>
      </c>
      <c r="C8" s="39"/>
      <c r="D8" s="40" t="s">
        <v>33</v>
      </c>
      <c r="E8" s="41"/>
      <c r="F8" s="37"/>
      <c r="G8" s="37"/>
      <c r="H8" s="37"/>
      <c r="I8" s="37"/>
      <c r="J8" s="37"/>
      <c r="K8" s="37"/>
      <c r="L8" s="37"/>
      <c r="M8" s="37"/>
      <c r="N8" s="221" t="s">
        <v>99</v>
      </c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42"/>
      <c r="Z8" s="37"/>
    </row>
    <row r="9" spans="1:26" ht="18" customHeight="1" x14ac:dyDescent="0.3">
      <c r="A9" s="37"/>
      <c r="B9" s="39" t="s">
        <v>14</v>
      </c>
      <c r="C9" s="39"/>
      <c r="D9" s="40" t="s">
        <v>33</v>
      </c>
      <c r="E9" s="43" t="s">
        <v>100</v>
      </c>
      <c r="F9" s="37"/>
      <c r="G9" s="37"/>
      <c r="H9" s="37"/>
      <c r="I9" s="37"/>
      <c r="J9" s="37"/>
      <c r="K9" s="37"/>
      <c r="L9" s="37"/>
      <c r="M9" s="37"/>
      <c r="N9" s="44"/>
      <c r="O9" s="44"/>
      <c r="P9" s="44"/>
      <c r="Q9" s="44"/>
      <c r="R9" s="44"/>
      <c r="S9" s="44"/>
      <c r="T9" s="44"/>
      <c r="U9" s="44"/>
      <c r="V9" s="44"/>
      <c r="W9" s="44"/>
      <c r="X9" s="42"/>
      <c r="Y9" s="42"/>
      <c r="Z9" s="37"/>
    </row>
    <row r="10" spans="1:26" ht="18" customHeight="1" x14ac:dyDescent="0.3">
      <c r="A10" s="37"/>
      <c r="B10" s="222" t="s">
        <v>13</v>
      </c>
      <c r="C10" s="219"/>
      <c r="D10" s="40" t="s">
        <v>33</v>
      </c>
      <c r="E10" s="43"/>
      <c r="F10" s="37"/>
      <c r="G10" s="37"/>
      <c r="H10" s="37"/>
      <c r="I10" s="37"/>
      <c r="J10" s="37"/>
      <c r="K10" s="37"/>
      <c r="L10" s="37"/>
      <c r="M10" s="37"/>
      <c r="N10" s="44" t="s">
        <v>101</v>
      </c>
      <c r="O10" s="44"/>
      <c r="P10" s="44"/>
      <c r="Q10" s="44"/>
      <c r="R10" s="44"/>
      <c r="S10" s="44" t="s">
        <v>33</v>
      </c>
      <c r="T10" s="44"/>
      <c r="U10" s="223"/>
      <c r="V10" s="219"/>
      <c r="W10" s="219"/>
      <c r="X10" s="219"/>
      <c r="Y10" s="42"/>
      <c r="Z10" s="37"/>
    </row>
    <row r="11" spans="1:26" ht="12.75" customHeight="1" x14ac:dyDescent="0.3">
      <c r="A11" s="37"/>
      <c r="B11" s="37"/>
      <c r="C11" s="37"/>
      <c r="D11" s="37"/>
      <c r="E11" s="41"/>
      <c r="F11" s="37"/>
      <c r="G11" s="37"/>
      <c r="H11" s="37"/>
      <c r="I11" s="37"/>
      <c r="J11" s="37"/>
      <c r="K11" s="37"/>
      <c r="L11" s="37"/>
      <c r="M11" s="37"/>
      <c r="N11" s="44" t="s">
        <v>102</v>
      </c>
      <c r="O11" s="44"/>
      <c r="P11" s="44"/>
      <c r="Q11" s="44"/>
      <c r="R11" s="44"/>
      <c r="S11" s="44" t="s">
        <v>33</v>
      </c>
      <c r="T11" s="44"/>
      <c r="U11" s="44"/>
      <c r="V11" s="44"/>
      <c r="W11" s="44"/>
      <c r="X11" s="42"/>
      <c r="Y11" s="42"/>
      <c r="Z11" s="37"/>
    </row>
    <row r="12" spans="1:26" ht="15" customHeight="1" x14ac:dyDescent="0.3">
      <c r="A12" s="37">
        <v>2</v>
      </c>
      <c r="B12" s="39" t="s">
        <v>98</v>
      </c>
      <c r="C12" s="39"/>
      <c r="D12" s="40" t="s">
        <v>33</v>
      </c>
      <c r="E12" s="45"/>
      <c r="F12" s="37"/>
      <c r="G12" s="37"/>
      <c r="H12" s="37"/>
      <c r="I12" s="37"/>
      <c r="J12" s="37"/>
      <c r="K12" s="37"/>
      <c r="L12" s="37"/>
      <c r="M12" s="37"/>
      <c r="N12" s="44" t="s">
        <v>103</v>
      </c>
      <c r="O12" s="44"/>
      <c r="P12" s="44"/>
      <c r="Q12" s="44"/>
      <c r="R12" s="44"/>
      <c r="S12" s="44" t="s">
        <v>33</v>
      </c>
      <c r="T12" s="44"/>
      <c r="U12" s="223"/>
      <c r="V12" s="219"/>
      <c r="W12" s="219"/>
      <c r="X12" s="42"/>
      <c r="Y12" s="42"/>
      <c r="Z12" s="37"/>
    </row>
    <row r="13" spans="1:26" ht="18" customHeight="1" x14ac:dyDescent="0.3">
      <c r="A13" s="37"/>
      <c r="B13" s="39" t="s">
        <v>14</v>
      </c>
      <c r="C13" s="39"/>
      <c r="D13" s="40" t="s">
        <v>33</v>
      </c>
      <c r="E13" s="43" t="s">
        <v>104</v>
      </c>
      <c r="F13" s="37"/>
      <c r="G13" s="37"/>
      <c r="H13" s="37"/>
      <c r="I13" s="37"/>
      <c r="J13" s="37"/>
      <c r="K13" s="37"/>
      <c r="L13" s="37"/>
      <c r="M13" s="37"/>
      <c r="N13" s="224" t="s">
        <v>105</v>
      </c>
      <c r="O13" s="219"/>
      <c r="P13" s="219"/>
      <c r="Q13" s="219"/>
      <c r="R13" s="219"/>
      <c r="S13" s="219"/>
      <c r="T13" s="219"/>
      <c r="U13" s="219"/>
      <c r="V13" s="219"/>
      <c r="W13" s="46" t="s">
        <v>24</v>
      </c>
      <c r="X13" s="47"/>
      <c r="Y13" s="42"/>
      <c r="Z13" s="37"/>
    </row>
    <row r="14" spans="1:26" ht="18" customHeight="1" x14ac:dyDescent="0.3">
      <c r="A14" s="37"/>
      <c r="B14" s="39" t="s">
        <v>13</v>
      </c>
      <c r="C14" s="39"/>
      <c r="D14" s="40" t="s">
        <v>33</v>
      </c>
      <c r="E14" s="45"/>
      <c r="F14" s="37"/>
      <c r="G14" s="37"/>
      <c r="H14" s="37"/>
      <c r="I14" s="37"/>
      <c r="J14" s="37"/>
      <c r="K14" s="37"/>
      <c r="L14" s="37"/>
      <c r="M14" s="37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2"/>
      <c r="Y14" s="42"/>
      <c r="Z14" s="37"/>
    </row>
    <row r="15" spans="1:26" ht="11.25" customHeight="1" x14ac:dyDescent="0.3">
      <c r="A15" s="37"/>
      <c r="B15" s="39"/>
      <c r="C15" s="39"/>
      <c r="D15" s="40"/>
      <c r="E15" s="45"/>
      <c r="F15" s="37"/>
      <c r="G15" s="37"/>
      <c r="H15" s="37"/>
      <c r="I15" s="37"/>
      <c r="J15" s="37"/>
      <c r="K15" s="37"/>
      <c r="L15" s="37"/>
      <c r="M15" s="37"/>
      <c r="N15" s="48" t="s">
        <v>106</v>
      </c>
      <c r="O15" s="44"/>
      <c r="P15" s="44"/>
      <c r="Q15" s="44"/>
      <c r="R15" s="44"/>
      <c r="S15" s="44"/>
      <c r="T15" s="44"/>
      <c r="U15" s="44"/>
      <c r="V15" s="44"/>
      <c r="W15" s="44"/>
      <c r="X15" s="42"/>
      <c r="Y15" s="42"/>
      <c r="Z15" s="37"/>
    </row>
    <row r="16" spans="1:26" ht="15" customHeight="1" x14ac:dyDescent="0.3">
      <c r="A16" s="37">
        <v>3</v>
      </c>
      <c r="B16" s="39" t="s">
        <v>107</v>
      </c>
      <c r="C16" s="39"/>
      <c r="D16" s="40" t="s">
        <v>33</v>
      </c>
      <c r="E16" s="45"/>
      <c r="F16" s="37"/>
      <c r="G16" s="37"/>
      <c r="H16" s="37"/>
      <c r="I16" s="37"/>
      <c r="J16" s="37"/>
      <c r="K16" s="37"/>
      <c r="L16" s="37"/>
      <c r="M16" s="37"/>
      <c r="N16" s="46" t="s">
        <v>108</v>
      </c>
      <c r="O16" s="44"/>
      <c r="P16" s="44"/>
      <c r="Q16" s="44"/>
      <c r="R16" s="44"/>
      <c r="S16" s="44"/>
      <c r="T16" s="44"/>
      <c r="U16" s="44"/>
      <c r="V16" s="44"/>
      <c r="W16" s="44"/>
      <c r="X16" s="42"/>
      <c r="Y16" s="42"/>
      <c r="Z16" s="37"/>
    </row>
    <row r="17" spans="1:26" ht="18" customHeight="1" x14ac:dyDescent="0.3">
      <c r="A17" s="37"/>
      <c r="B17" s="39" t="s">
        <v>14</v>
      </c>
      <c r="C17" s="39"/>
      <c r="D17" s="40" t="s">
        <v>33</v>
      </c>
      <c r="E17" s="43" t="s">
        <v>109</v>
      </c>
      <c r="F17" s="37"/>
      <c r="G17" s="37"/>
      <c r="H17" s="37"/>
      <c r="I17" s="37"/>
      <c r="J17" s="37"/>
      <c r="K17" s="37"/>
      <c r="L17" s="37"/>
      <c r="M17" s="37"/>
      <c r="N17" s="49" t="s">
        <v>70</v>
      </c>
      <c r="O17" s="220" t="s">
        <v>110</v>
      </c>
      <c r="P17" s="219"/>
      <c r="Q17" s="39"/>
      <c r="R17" s="38" t="s">
        <v>24</v>
      </c>
      <c r="S17" s="50">
        <v>100000</v>
      </c>
      <c r="T17" s="51"/>
      <c r="U17" s="38" t="s">
        <v>111</v>
      </c>
      <c r="V17" s="52" t="s">
        <v>33</v>
      </c>
      <c r="W17" s="38" t="s">
        <v>112</v>
      </c>
      <c r="X17" s="53">
        <f t="shared" ref="X17:X23" si="0">S17*T17</f>
        <v>0</v>
      </c>
      <c r="Y17" s="42"/>
      <c r="Z17" s="37"/>
    </row>
    <row r="18" spans="1:26" ht="18" customHeight="1" x14ac:dyDescent="0.3">
      <c r="A18" s="37"/>
      <c r="B18" s="39" t="s">
        <v>13</v>
      </c>
      <c r="C18" s="39"/>
      <c r="D18" s="40" t="s">
        <v>33</v>
      </c>
      <c r="E18" s="45"/>
      <c r="F18" s="37"/>
      <c r="G18" s="37"/>
      <c r="H18" s="37"/>
      <c r="I18" s="37"/>
      <c r="J18" s="37"/>
      <c r="K18" s="37"/>
      <c r="L18" s="37"/>
      <c r="M18" s="37"/>
      <c r="N18" s="49" t="s">
        <v>70</v>
      </c>
      <c r="O18" s="220" t="s">
        <v>110</v>
      </c>
      <c r="P18" s="219"/>
      <c r="Q18" s="39"/>
      <c r="R18" s="38" t="s">
        <v>24</v>
      </c>
      <c r="S18" s="50">
        <v>50000</v>
      </c>
      <c r="T18" s="51"/>
      <c r="U18" s="38" t="s">
        <v>111</v>
      </c>
      <c r="V18" s="52" t="s">
        <v>33</v>
      </c>
      <c r="W18" s="38" t="s">
        <v>112</v>
      </c>
      <c r="X18" s="53">
        <f t="shared" si="0"/>
        <v>0</v>
      </c>
      <c r="Y18" s="42"/>
      <c r="Z18" s="37"/>
    </row>
    <row r="19" spans="1:26" ht="37.5" customHeight="1" x14ac:dyDescent="0.3">
      <c r="A19" s="224" t="s">
        <v>113</v>
      </c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37"/>
      <c r="N19" s="49" t="s">
        <v>70</v>
      </c>
      <c r="O19" s="220" t="s">
        <v>110</v>
      </c>
      <c r="P19" s="219"/>
      <c r="Q19" s="39"/>
      <c r="R19" s="38" t="s">
        <v>24</v>
      </c>
      <c r="S19" s="50">
        <v>20000</v>
      </c>
      <c r="T19" s="51"/>
      <c r="U19" s="38" t="s">
        <v>111</v>
      </c>
      <c r="V19" s="52" t="s">
        <v>33</v>
      </c>
      <c r="W19" s="38" t="s">
        <v>24</v>
      </c>
      <c r="X19" s="53">
        <f t="shared" si="0"/>
        <v>0</v>
      </c>
      <c r="Y19" s="54"/>
      <c r="Z19" s="37"/>
    </row>
    <row r="20" spans="1:26" ht="12" customHeight="1" x14ac:dyDescent="0.3">
      <c r="A20" s="39"/>
      <c r="B20" s="37"/>
      <c r="C20" s="37"/>
      <c r="D20" s="37"/>
      <c r="E20" s="37"/>
      <c r="F20" s="39"/>
      <c r="G20" s="37"/>
      <c r="H20" s="37"/>
      <c r="I20" s="37"/>
      <c r="J20" s="37"/>
      <c r="K20" s="37"/>
      <c r="L20" s="37"/>
      <c r="M20" s="37"/>
      <c r="N20" s="49" t="s">
        <v>70</v>
      </c>
      <c r="O20" s="220" t="s">
        <v>110</v>
      </c>
      <c r="P20" s="219"/>
      <c r="Q20" s="39"/>
      <c r="R20" s="38" t="s">
        <v>24</v>
      </c>
      <c r="S20" s="50">
        <v>10000</v>
      </c>
      <c r="T20" s="51"/>
      <c r="U20" s="38" t="s">
        <v>111</v>
      </c>
      <c r="V20" s="52" t="s">
        <v>33</v>
      </c>
      <c r="W20" s="38" t="s">
        <v>112</v>
      </c>
      <c r="X20" s="53">
        <f t="shared" si="0"/>
        <v>0</v>
      </c>
      <c r="Y20" s="54"/>
      <c r="Z20" s="37"/>
    </row>
    <row r="21" spans="1:26" ht="19.5" customHeight="1" x14ac:dyDescent="0.3">
      <c r="A21" s="39"/>
      <c r="B21" s="40" t="s">
        <v>40</v>
      </c>
      <c r="C21" s="37" t="s">
        <v>114</v>
      </c>
      <c r="D21" s="37"/>
      <c r="E21" s="37"/>
      <c r="F21" s="37" t="s">
        <v>24</v>
      </c>
      <c r="G21" s="225" t="e">
        <f>#REF!+#REF!</f>
        <v>#REF!</v>
      </c>
      <c r="H21" s="219"/>
      <c r="I21" s="219"/>
      <c r="J21" s="37"/>
      <c r="K21" s="37"/>
      <c r="L21" s="37"/>
      <c r="M21" s="37"/>
      <c r="N21" s="49" t="s">
        <v>70</v>
      </c>
      <c r="O21" s="220" t="s">
        <v>110</v>
      </c>
      <c r="P21" s="219"/>
      <c r="Q21" s="39"/>
      <c r="R21" s="38" t="s">
        <v>24</v>
      </c>
      <c r="S21" s="50">
        <v>5000</v>
      </c>
      <c r="T21" s="51"/>
      <c r="U21" s="38" t="s">
        <v>111</v>
      </c>
      <c r="V21" s="52" t="s">
        <v>33</v>
      </c>
      <c r="W21" s="38" t="s">
        <v>112</v>
      </c>
      <c r="X21" s="53">
        <f t="shared" si="0"/>
        <v>0</v>
      </c>
      <c r="Y21" s="54"/>
      <c r="Z21" s="37"/>
    </row>
    <row r="22" spans="1:26" ht="19.5" customHeight="1" x14ac:dyDescent="0.3">
      <c r="A22" s="39"/>
      <c r="B22" s="40" t="s">
        <v>42</v>
      </c>
      <c r="C22" s="37" t="s">
        <v>115</v>
      </c>
      <c r="D22" s="37"/>
      <c r="E22" s="37"/>
      <c r="F22" s="37" t="s">
        <v>24</v>
      </c>
      <c r="G22" s="225" t="e">
        <f t="shared" ref="G22:G23" si="1">#REF!</f>
        <v>#REF!</v>
      </c>
      <c r="H22" s="219"/>
      <c r="I22" s="219"/>
      <c r="J22" s="37"/>
      <c r="K22" s="37"/>
      <c r="L22" s="37"/>
      <c r="M22" s="37"/>
      <c r="N22" s="49" t="s">
        <v>70</v>
      </c>
      <c r="O22" s="220" t="s">
        <v>110</v>
      </c>
      <c r="P22" s="219"/>
      <c r="Q22" s="39"/>
      <c r="R22" s="38" t="s">
        <v>24</v>
      </c>
      <c r="S22" s="50">
        <v>2000</v>
      </c>
      <c r="T22" s="51"/>
      <c r="U22" s="38" t="s">
        <v>111</v>
      </c>
      <c r="V22" s="52" t="s">
        <v>33</v>
      </c>
      <c r="W22" s="38" t="s">
        <v>24</v>
      </c>
      <c r="X22" s="53">
        <f t="shared" si="0"/>
        <v>0</v>
      </c>
      <c r="Y22" s="54"/>
      <c r="Z22" s="37"/>
    </row>
    <row r="23" spans="1:26" ht="19.5" customHeight="1" x14ac:dyDescent="0.3">
      <c r="A23" s="39"/>
      <c r="B23" s="40" t="s">
        <v>44</v>
      </c>
      <c r="C23" s="37" t="s">
        <v>116</v>
      </c>
      <c r="D23" s="37"/>
      <c r="E23" s="37"/>
      <c r="F23" s="55" t="s">
        <v>24</v>
      </c>
      <c r="G23" s="226" t="e">
        <f t="shared" si="1"/>
        <v>#REF!</v>
      </c>
      <c r="H23" s="227"/>
      <c r="I23" s="227"/>
      <c r="J23" s="37"/>
      <c r="K23" s="37"/>
      <c r="L23" s="37"/>
      <c r="M23" s="37"/>
      <c r="N23" s="49" t="s">
        <v>70</v>
      </c>
      <c r="O23" s="220" t="s">
        <v>110</v>
      </c>
      <c r="P23" s="219"/>
      <c r="Q23" s="39"/>
      <c r="R23" s="38" t="s">
        <v>24</v>
      </c>
      <c r="S23" s="50">
        <v>1000</v>
      </c>
      <c r="T23" s="51"/>
      <c r="U23" s="38" t="s">
        <v>111</v>
      </c>
      <c r="V23" s="52" t="s">
        <v>33</v>
      </c>
      <c r="W23" s="56" t="s">
        <v>24</v>
      </c>
      <c r="X23" s="57">
        <f t="shared" si="0"/>
        <v>0</v>
      </c>
      <c r="Y23" s="44" t="s">
        <v>117</v>
      </c>
      <c r="Z23" s="37"/>
    </row>
    <row r="24" spans="1:26" ht="19.5" customHeight="1" x14ac:dyDescent="0.3">
      <c r="A24" s="37"/>
      <c r="B24" s="58" t="s">
        <v>46</v>
      </c>
      <c r="C24" s="228" t="s">
        <v>118</v>
      </c>
      <c r="D24" s="219"/>
      <c r="E24" s="219"/>
      <c r="F24" s="59" t="s">
        <v>24</v>
      </c>
      <c r="G24" s="229" t="e">
        <f>SUM(G21:I23)</f>
        <v>#REF!</v>
      </c>
      <c r="H24" s="219"/>
      <c r="I24" s="219"/>
      <c r="J24" s="37"/>
      <c r="K24" s="37"/>
      <c r="L24" s="37"/>
      <c r="M24" s="37"/>
      <c r="N24" s="60"/>
      <c r="O24" s="61"/>
      <c r="P24" s="62" t="s">
        <v>119</v>
      </c>
      <c r="Q24" s="62"/>
      <c r="R24" s="62"/>
      <c r="S24" s="62"/>
      <c r="T24" s="62"/>
      <c r="U24" s="62"/>
      <c r="V24" s="63" t="s">
        <v>33</v>
      </c>
      <c r="W24" s="64" t="s">
        <v>120</v>
      </c>
      <c r="X24" s="65">
        <f>SUM(X17:X23)</f>
        <v>0</v>
      </c>
      <c r="Y24" s="66"/>
      <c r="Z24" s="37"/>
    </row>
    <row r="25" spans="1:26" ht="11.25" customHeight="1" x14ac:dyDescent="0.3">
      <c r="A25" s="37"/>
      <c r="B25" s="40"/>
      <c r="C25" s="37"/>
      <c r="D25" s="37"/>
      <c r="E25" s="37"/>
      <c r="F25" s="59"/>
      <c r="G25" s="67"/>
      <c r="H25" s="67"/>
      <c r="I25" s="67"/>
      <c r="J25" s="37"/>
      <c r="K25" s="37"/>
      <c r="L25" s="37"/>
      <c r="M25" s="37"/>
      <c r="N25" s="46"/>
      <c r="O25" s="68"/>
      <c r="P25" s="69"/>
      <c r="Q25" s="70"/>
      <c r="R25" s="70"/>
      <c r="S25" s="70"/>
      <c r="T25" s="70"/>
      <c r="U25" s="70"/>
      <c r="V25" s="71"/>
      <c r="W25" s="70"/>
      <c r="X25" s="53"/>
      <c r="Y25" s="54"/>
      <c r="Z25" s="37"/>
    </row>
    <row r="26" spans="1:26" ht="30" customHeight="1" x14ac:dyDescent="0.3">
      <c r="A26" s="37"/>
      <c r="B26" s="72" t="s">
        <v>48</v>
      </c>
      <c r="C26" s="220" t="s">
        <v>121</v>
      </c>
      <c r="D26" s="219"/>
      <c r="E26" s="219"/>
      <c r="F26" s="59" t="s">
        <v>24</v>
      </c>
      <c r="G26" s="230" t="e">
        <f>#REF!</f>
        <v>#REF!</v>
      </c>
      <c r="H26" s="219"/>
      <c r="I26" s="219"/>
      <c r="J26" s="37"/>
      <c r="K26" s="37"/>
      <c r="L26" s="37"/>
      <c r="M26" s="54"/>
      <c r="N26" s="46" t="s">
        <v>122</v>
      </c>
      <c r="O26" s="68"/>
      <c r="P26" s="68"/>
      <c r="Q26" s="68"/>
      <c r="R26" s="68"/>
      <c r="S26" s="68"/>
      <c r="T26" s="68"/>
      <c r="U26" s="68"/>
      <c r="V26" s="68"/>
      <c r="W26" s="68"/>
      <c r="X26" s="53"/>
      <c r="Y26" s="54"/>
      <c r="Z26" s="37"/>
    </row>
    <row r="27" spans="1:26" ht="19.5" customHeight="1" x14ac:dyDescent="0.3">
      <c r="A27" s="37" t="s">
        <v>123</v>
      </c>
      <c r="B27" s="37"/>
      <c r="C27" s="37"/>
      <c r="D27" s="37"/>
      <c r="E27" s="37"/>
      <c r="F27" s="59" t="s">
        <v>24</v>
      </c>
      <c r="G27" s="230" t="e">
        <f>G24-G26</f>
        <v>#REF!</v>
      </c>
      <c r="H27" s="219"/>
      <c r="I27" s="219"/>
      <c r="J27" s="37"/>
      <c r="K27" s="37"/>
      <c r="L27" s="37"/>
      <c r="M27" s="37"/>
      <c r="N27" s="49" t="s">
        <v>70</v>
      </c>
      <c r="O27" s="220" t="s">
        <v>124</v>
      </c>
      <c r="P27" s="219"/>
      <c r="Q27" s="39"/>
      <c r="R27" s="38" t="s">
        <v>24</v>
      </c>
      <c r="S27" s="50">
        <v>1000</v>
      </c>
      <c r="T27" s="51"/>
      <c r="U27" s="38" t="s">
        <v>125</v>
      </c>
      <c r="V27" s="52" t="s">
        <v>33</v>
      </c>
      <c r="W27" s="38" t="s">
        <v>24</v>
      </c>
      <c r="X27" s="53">
        <f t="shared" ref="X27:X31" si="2">S27*T27</f>
        <v>0</v>
      </c>
      <c r="Y27" s="54"/>
      <c r="Z27" s="37"/>
    </row>
    <row r="28" spans="1:26" ht="15.75" customHeight="1" x14ac:dyDescent="0.3">
      <c r="A28" s="37" t="s">
        <v>126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49" t="s">
        <v>70</v>
      </c>
      <c r="O28" s="220" t="s">
        <v>124</v>
      </c>
      <c r="P28" s="219"/>
      <c r="Q28" s="39"/>
      <c r="R28" s="38" t="s">
        <v>24</v>
      </c>
      <c r="S28" s="50">
        <v>500</v>
      </c>
      <c r="T28" s="51"/>
      <c r="U28" s="38" t="s">
        <v>125</v>
      </c>
      <c r="V28" s="52" t="s">
        <v>33</v>
      </c>
      <c r="W28" s="38" t="s">
        <v>24</v>
      </c>
      <c r="X28" s="53">
        <f t="shared" si="2"/>
        <v>0</v>
      </c>
      <c r="Y28" s="54"/>
      <c r="Z28" s="37"/>
    </row>
    <row r="29" spans="1:26" ht="26.25" customHeight="1" x14ac:dyDescent="0.3">
      <c r="A29" s="37"/>
      <c r="B29" s="222"/>
      <c r="C29" s="219"/>
      <c r="D29" s="219"/>
      <c r="E29" s="219"/>
      <c r="F29" s="37"/>
      <c r="G29" s="231"/>
      <c r="H29" s="219"/>
      <c r="I29" s="219"/>
      <c r="J29" s="37"/>
      <c r="K29" s="37"/>
      <c r="L29" s="37"/>
      <c r="M29" s="37"/>
      <c r="N29" s="49" t="s">
        <v>70</v>
      </c>
      <c r="O29" s="220" t="s">
        <v>124</v>
      </c>
      <c r="P29" s="219"/>
      <c r="Q29" s="39"/>
      <c r="R29" s="38" t="s">
        <v>24</v>
      </c>
      <c r="S29" s="50">
        <v>200</v>
      </c>
      <c r="T29" s="53"/>
      <c r="U29" s="38" t="s">
        <v>125</v>
      </c>
      <c r="V29" s="52" t="s">
        <v>33</v>
      </c>
      <c r="W29" s="38" t="s">
        <v>24</v>
      </c>
      <c r="X29" s="53">
        <f t="shared" si="2"/>
        <v>0</v>
      </c>
      <c r="Y29" s="54"/>
      <c r="Z29" s="37"/>
    </row>
    <row r="30" spans="1:26" ht="9" customHeight="1" x14ac:dyDescent="0.3">
      <c r="A30" s="73"/>
      <c r="B30" s="73"/>
      <c r="C30" s="73"/>
      <c r="D30" s="73"/>
      <c r="E30" s="73"/>
      <c r="F30" s="73"/>
      <c r="G30" s="74"/>
      <c r="H30" s="74"/>
      <c r="I30" s="74"/>
      <c r="J30" s="73"/>
      <c r="K30" s="73"/>
      <c r="L30" s="73"/>
      <c r="M30" s="37"/>
      <c r="N30" s="49" t="s">
        <v>70</v>
      </c>
      <c r="O30" s="220" t="s">
        <v>124</v>
      </c>
      <c r="P30" s="219"/>
      <c r="Q30" s="39"/>
      <c r="R30" s="38" t="s">
        <v>24</v>
      </c>
      <c r="S30" s="50">
        <v>100</v>
      </c>
      <c r="T30" s="53"/>
      <c r="U30" s="38" t="s">
        <v>125</v>
      </c>
      <c r="V30" s="52" t="s">
        <v>33</v>
      </c>
      <c r="W30" s="38" t="s">
        <v>24</v>
      </c>
      <c r="X30" s="53">
        <f t="shared" si="2"/>
        <v>0</v>
      </c>
      <c r="Y30" s="44"/>
      <c r="Z30" s="37"/>
    </row>
    <row r="31" spans="1:26" ht="3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49" t="s">
        <v>70</v>
      </c>
      <c r="O31" s="220" t="s">
        <v>124</v>
      </c>
      <c r="P31" s="219"/>
      <c r="Q31" s="39"/>
      <c r="R31" s="38" t="s">
        <v>24</v>
      </c>
      <c r="S31" s="50">
        <v>50</v>
      </c>
      <c r="T31" s="53"/>
      <c r="U31" s="38" t="s">
        <v>125</v>
      </c>
      <c r="V31" s="52" t="s">
        <v>33</v>
      </c>
      <c r="W31" s="56" t="s">
        <v>24</v>
      </c>
      <c r="X31" s="57">
        <f t="shared" si="2"/>
        <v>0</v>
      </c>
      <c r="Y31" s="44" t="s">
        <v>117</v>
      </c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75"/>
      <c r="O32" s="61"/>
      <c r="P32" s="62" t="s">
        <v>127</v>
      </c>
      <c r="Q32" s="62"/>
      <c r="R32" s="62"/>
      <c r="S32" s="62"/>
      <c r="T32" s="62"/>
      <c r="U32" s="62"/>
      <c r="V32" s="63" t="s">
        <v>33</v>
      </c>
      <c r="W32" s="64" t="s">
        <v>120</v>
      </c>
      <c r="X32" s="76">
        <f>SUM(X27:X31)</f>
        <v>0</v>
      </c>
      <c r="Y32" s="66"/>
      <c r="Z32" s="37"/>
    </row>
    <row r="33" spans="1:26" ht="15.75" customHeight="1" x14ac:dyDescent="0.3">
      <c r="A33" s="41"/>
      <c r="B33" s="41"/>
      <c r="C33" s="41"/>
      <c r="D33" s="41"/>
      <c r="E33" s="41"/>
      <c r="F33" s="41"/>
      <c r="G33" s="41"/>
      <c r="H33" s="41"/>
      <c r="I33" s="41" t="s">
        <v>128</v>
      </c>
      <c r="J33" s="41"/>
      <c r="K33" s="41"/>
      <c r="L33" s="41"/>
      <c r="M33" s="37"/>
      <c r="N33" s="77"/>
      <c r="O33" s="68"/>
      <c r="P33" s="69"/>
      <c r="Q33" s="70"/>
      <c r="R33" s="70"/>
      <c r="S33" s="70"/>
      <c r="T33" s="70"/>
      <c r="U33" s="70"/>
      <c r="V33" s="71"/>
      <c r="W33" s="78"/>
      <c r="X33" s="79"/>
      <c r="Y33" s="54"/>
      <c r="Z33" s="37"/>
    </row>
    <row r="34" spans="1:26" ht="15.75" customHeight="1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54"/>
      <c r="M34" s="37"/>
      <c r="N34" s="46" t="s">
        <v>129</v>
      </c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54"/>
      <c r="Z34" s="37"/>
    </row>
    <row r="35" spans="1:26" ht="15" customHeight="1" x14ac:dyDescent="0.3">
      <c r="A35" s="232" t="s">
        <v>10</v>
      </c>
      <c r="B35" s="219"/>
      <c r="C35" s="219"/>
      <c r="D35" s="219"/>
      <c r="E35" s="219"/>
      <c r="F35" s="37"/>
      <c r="G35" s="37"/>
      <c r="H35" s="37"/>
      <c r="I35" s="232" t="s">
        <v>130</v>
      </c>
      <c r="J35" s="219"/>
      <c r="K35" s="219"/>
      <c r="L35" s="59"/>
      <c r="M35" s="37"/>
      <c r="N35" s="49" t="s">
        <v>70</v>
      </c>
      <c r="O35" s="44" t="s">
        <v>131</v>
      </c>
      <c r="P35" s="44"/>
      <c r="Q35" s="44"/>
      <c r="R35" s="44"/>
      <c r="S35" s="44"/>
      <c r="T35" s="44"/>
      <c r="U35" s="37"/>
      <c r="V35" s="52" t="s">
        <v>33</v>
      </c>
      <c r="W35" s="38" t="s">
        <v>132</v>
      </c>
      <c r="X35" s="53">
        <v>0</v>
      </c>
      <c r="Y35" s="54"/>
      <c r="Z35" s="37"/>
    </row>
    <row r="36" spans="1:26" ht="15.75" customHeight="1" x14ac:dyDescent="0.3">
      <c r="A36" s="232" t="s">
        <v>133</v>
      </c>
      <c r="B36" s="219"/>
      <c r="C36" s="219"/>
      <c r="D36" s="219"/>
      <c r="E36" s="219"/>
      <c r="F36" s="37"/>
      <c r="G36" s="37"/>
      <c r="H36" s="37"/>
      <c r="I36" s="37"/>
      <c r="J36" s="37"/>
      <c r="K36" s="37"/>
      <c r="L36" s="59"/>
      <c r="M36" s="37"/>
      <c r="N36" s="49" t="s">
        <v>70</v>
      </c>
      <c r="O36" s="44" t="s">
        <v>134</v>
      </c>
      <c r="P36" s="44"/>
      <c r="Q36" s="44"/>
      <c r="R36" s="44"/>
      <c r="S36" s="44"/>
      <c r="T36" s="44"/>
      <c r="U36" s="37"/>
      <c r="V36" s="52" t="s">
        <v>33</v>
      </c>
      <c r="W36" s="38" t="s">
        <v>132</v>
      </c>
      <c r="X36" s="53">
        <v>0</v>
      </c>
      <c r="Y36" s="54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67"/>
      <c r="M37" s="37"/>
      <c r="N37" s="80"/>
      <c r="O37" s="233"/>
      <c r="P37" s="219"/>
      <c r="Q37" s="219"/>
      <c r="R37" s="219"/>
      <c r="S37" s="219"/>
      <c r="T37" s="219"/>
      <c r="U37" s="219"/>
      <c r="V37" s="71"/>
      <c r="W37" s="78"/>
      <c r="X37" s="79"/>
      <c r="Y37" s="42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67"/>
      <c r="M38" s="37"/>
      <c r="N38" s="46" t="s">
        <v>135</v>
      </c>
      <c r="O38" s="68"/>
      <c r="P38" s="68"/>
      <c r="Q38" s="68"/>
      <c r="R38" s="68"/>
      <c r="S38" s="68"/>
      <c r="T38" s="68"/>
      <c r="U38" s="68"/>
      <c r="V38" s="52" t="s">
        <v>33</v>
      </c>
      <c r="W38" s="71" t="s">
        <v>132</v>
      </c>
      <c r="X38" s="81">
        <v>0</v>
      </c>
      <c r="Y38" s="54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234" t="s">
        <v>136</v>
      </c>
      <c r="J39" s="219"/>
      <c r="K39" s="219"/>
      <c r="L39" s="67"/>
      <c r="M39" s="37"/>
      <c r="N39" s="46"/>
      <c r="O39" s="68"/>
      <c r="P39" s="68"/>
      <c r="Q39" s="68"/>
      <c r="R39" s="68"/>
      <c r="S39" s="68"/>
      <c r="T39" s="68"/>
      <c r="U39" s="68"/>
      <c r="V39" s="70"/>
      <c r="W39" s="68"/>
      <c r="X39" s="68"/>
      <c r="Y39" s="54"/>
      <c r="Z39" s="37"/>
    </row>
    <row r="40" spans="1:26" ht="15.75" customHeight="1" x14ac:dyDescent="0.3">
      <c r="A40" s="234" t="s">
        <v>137</v>
      </c>
      <c r="B40" s="219"/>
      <c r="C40" s="219"/>
      <c r="D40" s="219"/>
      <c r="E40" s="219"/>
      <c r="F40" s="37"/>
      <c r="G40" s="40"/>
      <c r="H40" s="37"/>
      <c r="I40" s="232" t="s">
        <v>9</v>
      </c>
      <c r="J40" s="219"/>
      <c r="K40" s="219"/>
      <c r="L40" s="67"/>
      <c r="M40" s="37"/>
      <c r="N40" s="235" t="s">
        <v>138</v>
      </c>
      <c r="O40" s="219"/>
      <c r="P40" s="219"/>
      <c r="Q40" s="219"/>
      <c r="R40" s="219"/>
      <c r="S40" s="219"/>
      <c r="T40" s="219"/>
      <c r="U40" s="219"/>
      <c r="V40" s="52" t="s">
        <v>33</v>
      </c>
      <c r="W40" s="52" t="s">
        <v>132</v>
      </c>
      <c r="X40" s="82">
        <f>X24+X32+X35+X36+X38</f>
        <v>0</v>
      </c>
      <c r="Y40" s="54"/>
      <c r="Z40" s="37"/>
    </row>
    <row r="41" spans="1:26" ht="15.75" customHeight="1" x14ac:dyDescent="0.3">
      <c r="A41" s="237" t="s">
        <v>139</v>
      </c>
      <c r="B41" s="219"/>
      <c r="C41" s="219"/>
      <c r="D41" s="219"/>
      <c r="E41" s="219"/>
      <c r="F41" s="37"/>
      <c r="G41" s="40"/>
      <c r="H41" s="37"/>
      <c r="I41" s="232"/>
      <c r="J41" s="219"/>
      <c r="K41" s="219"/>
      <c r="L41" s="67"/>
      <c r="M41" s="37"/>
      <c r="N41" s="46"/>
      <c r="O41" s="68"/>
      <c r="P41" s="68"/>
      <c r="Q41" s="68"/>
      <c r="R41" s="68"/>
      <c r="S41" s="68"/>
      <c r="T41" s="68"/>
      <c r="U41" s="68"/>
      <c r="V41" s="70"/>
      <c r="W41" s="68"/>
      <c r="X41" s="68"/>
      <c r="Y41" s="54"/>
      <c r="Z41" s="37"/>
    </row>
    <row r="42" spans="1:26" ht="15.75" customHeight="1" x14ac:dyDescent="0.3">
      <c r="A42" s="232"/>
      <c r="B42" s="219"/>
      <c r="C42" s="219"/>
      <c r="D42" s="219"/>
      <c r="E42" s="37"/>
      <c r="F42" s="37"/>
      <c r="G42" s="40"/>
      <c r="H42" s="37"/>
      <c r="I42" s="232"/>
      <c r="J42" s="219"/>
      <c r="K42" s="219"/>
      <c r="L42" s="67"/>
      <c r="M42" s="37"/>
      <c r="N42" s="44" t="s">
        <v>140</v>
      </c>
      <c r="O42" s="44"/>
      <c r="P42" s="44"/>
      <c r="Q42" s="44"/>
      <c r="R42" s="44"/>
      <c r="S42" s="44"/>
      <c r="T42" s="44"/>
      <c r="U42" s="44"/>
      <c r="V42" s="52" t="s">
        <v>33</v>
      </c>
      <c r="W42" s="46" t="s">
        <v>132</v>
      </c>
      <c r="X42" s="83">
        <f>X40-X13</f>
        <v>0</v>
      </c>
      <c r="Y42" s="42"/>
      <c r="Z42" s="37"/>
    </row>
    <row r="43" spans="1:26" ht="15.75" customHeight="1" x14ac:dyDescent="0.3">
      <c r="A43" s="232" t="s">
        <v>141</v>
      </c>
      <c r="B43" s="219"/>
      <c r="C43" s="219"/>
      <c r="D43" s="219"/>
      <c r="E43" s="219"/>
      <c r="F43" s="37"/>
      <c r="G43" s="40"/>
      <c r="H43" s="37"/>
      <c r="I43" s="37"/>
      <c r="J43" s="37"/>
      <c r="K43" s="54"/>
      <c r="L43" s="67"/>
      <c r="M43" s="37"/>
      <c r="N43" s="44"/>
      <c r="O43" s="37"/>
      <c r="P43" s="44"/>
      <c r="Q43" s="44"/>
      <c r="R43" s="44"/>
      <c r="S43" s="44"/>
      <c r="T43" s="44"/>
      <c r="U43" s="44"/>
      <c r="V43" s="44"/>
      <c r="W43" s="44"/>
      <c r="X43" s="84"/>
      <c r="Y43" s="42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40"/>
      <c r="H44" s="37"/>
      <c r="I44" s="37"/>
      <c r="J44" s="37"/>
      <c r="K44" s="37"/>
      <c r="L44" s="67"/>
      <c r="M44" s="37"/>
      <c r="N44" s="48" t="s">
        <v>142</v>
      </c>
      <c r="O44" s="44"/>
      <c r="P44" s="44"/>
      <c r="Q44" s="44"/>
      <c r="R44" s="44"/>
      <c r="S44" s="44"/>
      <c r="T44" s="44"/>
      <c r="U44" s="44"/>
      <c r="V44" s="44"/>
      <c r="W44" s="44"/>
      <c r="X44" s="84"/>
      <c r="Y44" s="42"/>
      <c r="Z44" s="37"/>
    </row>
    <row r="45" spans="1:26" ht="15.75" customHeight="1" x14ac:dyDescent="0.3">
      <c r="A45" s="234"/>
      <c r="B45" s="219"/>
      <c r="C45" s="219"/>
      <c r="D45" s="219"/>
      <c r="E45" s="37"/>
      <c r="F45" s="37"/>
      <c r="G45" s="40"/>
      <c r="H45" s="37"/>
      <c r="I45" s="37"/>
      <c r="J45" s="37"/>
      <c r="K45" s="37"/>
      <c r="L45" s="67"/>
      <c r="M45" s="37"/>
      <c r="N45" s="220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42"/>
      <c r="Z45" s="37"/>
    </row>
    <row r="46" spans="1:26" ht="15.75" customHeight="1" x14ac:dyDescent="0.3">
      <c r="A46" s="232"/>
      <c r="B46" s="219"/>
      <c r="C46" s="219"/>
      <c r="D46" s="219"/>
      <c r="E46" s="37"/>
      <c r="F46" s="37"/>
      <c r="G46" s="40"/>
      <c r="H46" s="37"/>
      <c r="I46" s="37"/>
      <c r="J46" s="37"/>
      <c r="K46" s="37"/>
      <c r="L46" s="67"/>
      <c r="M46" s="37"/>
      <c r="N46" s="48" t="s">
        <v>143</v>
      </c>
      <c r="O46" s="44"/>
      <c r="P46" s="44"/>
      <c r="Q46" s="44"/>
      <c r="R46" s="44"/>
      <c r="S46" s="44"/>
      <c r="T46" s="44"/>
      <c r="U46" s="44"/>
      <c r="V46" s="44"/>
      <c r="W46" s="44"/>
      <c r="X46" s="84"/>
      <c r="Y46" s="42"/>
      <c r="Z46" s="37"/>
    </row>
    <row r="47" spans="1:26" ht="15.75" customHeight="1" x14ac:dyDescent="0.3">
      <c r="A47" s="234" t="s">
        <v>137</v>
      </c>
      <c r="B47" s="219"/>
      <c r="C47" s="219"/>
      <c r="D47" s="219"/>
      <c r="E47" s="219"/>
      <c r="F47" s="37"/>
      <c r="G47" s="40"/>
      <c r="H47" s="37"/>
      <c r="I47" s="236"/>
      <c r="J47" s="219"/>
      <c r="K47" s="219"/>
      <c r="L47" s="67"/>
      <c r="M47" s="37"/>
      <c r="N47" s="220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42"/>
      <c r="Z47" s="37"/>
    </row>
    <row r="48" spans="1:26" ht="15.75" customHeight="1" x14ac:dyDescent="0.3">
      <c r="A48" s="237" t="s">
        <v>139</v>
      </c>
      <c r="B48" s="219"/>
      <c r="C48" s="219"/>
      <c r="D48" s="219"/>
      <c r="E48" s="219"/>
      <c r="F48" s="37"/>
      <c r="G48" s="37"/>
      <c r="H48" s="37"/>
      <c r="I48" s="37"/>
      <c r="J48" s="37"/>
      <c r="K48" s="54"/>
      <c r="L48" s="67"/>
      <c r="M48" s="37"/>
      <c r="N48" s="44"/>
      <c r="O48" s="44"/>
      <c r="P48" s="44"/>
      <c r="Q48" s="44"/>
      <c r="R48" s="44"/>
      <c r="S48" s="44" t="s">
        <v>144</v>
      </c>
      <c r="T48" s="44"/>
      <c r="U48" s="44"/>
      <c r="V48" s="44"/>
      <c r="W48" s="44"/>
      <c r="X48" s="42"/>
      <c r="Y48" s="42"/>
      <c r="Z48" s="37"/>
    </row>
    <row r="49" spans="1:26" ht="15.75" customHeight="1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spans="1:26" ht="15.75" customHeight="1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spans="1:26" ht="15.75" customHeight="1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spans="1:26" ht="15.75" customHeight="1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spans="1:26" ht="15.75" customHeight="1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spans="1:26" ht="15.75" customHeight="1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spans="1:26" ht="15.75" customHeight="1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spans="1:26" ht="15.75" customHeight="1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spans="1:26" ht="15.75" customHeight="1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spans="1:26" ht="15.75" customHeight="1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spans="1:26" ht="15.75" customHeight="1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spans="1:26" ht="15.75" customHeight="1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spans="1:26" ht="15.75" customHeight="1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6" ht="15.7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spans="1:26" ht="15.7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6" ht="15.7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6" ht="15.7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spans="1:26" ht="15.75" customHeight="1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spans="1:26" ht="15.75" customHeight="1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spans="1:26" ht="15.75" customHeight="1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spans="1:26" ht="15.75" customHeight="1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spans="1:26" ht="15.75" customHeight="1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26" ht="15.75" customHeight="1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spans="1:26" ht="15.75" customHeight="1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spans="1:26" ht="15.75" customHeight="1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spans="1:26" ht="15.75" customHeight="1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spans="1:26" ht="15.75" customHeight="1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6" ht="15.75" customHeight="1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spans="1:26" ht="15.75" customHeight="1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spans="1:26" ht="15.75" customHeight="1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spans="1:26" ht="15.75" customHeight="1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spans="1:26" ht="15.75" customHeight="1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spans="1:26" ht="15.75" customHeight="1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spans="1:26" ht="15.75" customHeight="1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spans="1:26" ht="15.75" customHeight="1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spans="1:26" ht="15.75" customHeight="1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spans="1:26" ht="15.75" customHeight="1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spans="1:26" ht="15.75" customHeight="1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spans="1:26" ht="15.75" customHeight="1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spans="1:26" ht="15.75" customHeight="1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 ht="15.75" customHeight="1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 ht="15.75" customHeight="1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spans="1:26" ht="15.7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spans="1:26" ht="15.75" customHeight="1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spans="1:26" ht="15.75" customHeight="1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spans="1:26" ht="15.75" customHeight="1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spans="1:26" ht="15.75" customHeight="1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spans="1:26" ht="15.75" customHeight="1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spans="1:26" ht="15.75" customHeight="1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15.75" customHeight="1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spans="1:26" ht="15.75" customHeight="1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spans="1:26" ht="15.75" customHeight="1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spans="1:26" ht="15.75" customHeight="1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spans="1:26" ht="15.75" customHeight="1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spans="1:26" ht="15.75" customHeight="1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6" ht="15.75" customHeight="1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6" ht="15.75" customHeight="1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spans="1:26" ht="15.75" customHeight="1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spans="1:26" ht="15.75" customHeight="1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spans="1:26" ht="15.75" customHeight="1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spans="1:26" ht="15.75" customHeight="1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spans="1:26" ht="15.75" customHeight="1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spans="1:26" ht="15.75" customHeight="1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5.75" customHeight="1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5.75" customHeight="1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5.75" customHeight="1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5.75" customHeight="1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5.75" customHeight="1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5.75" customHeight="1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5.75" customHeight="1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spans="1:26" ht="15.75" customHeight="1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5.75" customHeight="1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5.75" customHeight="1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spans="1:26" ht="15.75" customHeight="1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5.75" customHeight="1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spans="1:26" ht="15.75" customHeight="1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spans="1:26" ht="15.75" customHeight="1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spans="1:26" ht="15.75" customHeight="1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spans="1:26" ht="15.75" customHeight="1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spans="1:26" ht="15.75" customHeight="1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spans="1:26" ht="15.75" customHeight="1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spans="1:26" ht="15.75" customHeight="1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spans="1:26" ht="15.75" customHeight="1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spans="1:26" ht="15.75" customHeight="1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spans="1:26" ht="15.75" customHeight="1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spans="1:26" ht="15.75" customHeight="1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spans="1:26" ht="15.75" customHeight="1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spans="1:26" ht="15.75" customHeight="1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spans="1:26" ht="15.75" customHeight="1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spans="1:26" ht="15.75" customHeight="1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spans="1:26" ht="15.75" customHeight="1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spans="1:26" ht="15.75" customHeight="1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spans="1:26" ht="15.75" customHeight="1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spans="1:26" ht="15.75" customHeight="1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spans="1:26" ht="15.75" customHeight="1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spans="1:26" ht="15.75" customHeight="1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spans="1:26" ht="15.75" customHeight="1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spans="1:26" ht="15.75" customHeight="1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spans="1:26" ht="15.75" customHeight="1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spans="1:26" ht="15.75" customHeight="1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spans="1:26" ht="15.75" customHeight="1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spans="1:26" ht="15.75" customHeight="1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spans="1:26" ht="15.75" customHeight="1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spans="1:26" ht="15.75" customHeight="1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spans="1:26" ht="15.75" customHeight="1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spans="1:26" ht="15.75" customHeight="1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spans="1:26" ht="15.75" customHeight="1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spans="1:26" ht="15.75" customHeight="1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spans="1:26" ht="15.75" customHeight="1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spans="1:26" ht="15.75" customHeight="1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spans="1:26" ht="15.75" customHeight="1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spans="1:26" ht="15.75" customHeight="1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spans="1:26" ht="15.75" customHeight="1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spans="1:26" ht="15.75" customHeight="1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spans="1:26" ht="15.75" customHeight="1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spans="1:26" ht="15.75" customHeight="1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spans="1:26" ht="15.75" customHeight="1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spans="1:26" ht="15.75" customHeight="1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spans="1:26" ht="15.75" customHeight="1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spans="1:26" ht="15.75" customHeight="1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spans="1:26" ht="15.75" customHeight="1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spans="1:26" ht="15.75" customHeight="1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spans="1:26" ht="15.75" customHeight="1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spans="1:26" ht="15.75" customHeight="1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spans="1:26" ht="15.75" customHeight="1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spans="1:26" ht="15.75" customHeight="1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spans="1:26" ht="15.75" customHeight="1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spans="1:26" ht="15.75" customHeight="1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spans="1:26" ht="15.75" customHeight="1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spans="1:26" ht="15.75" customHeight="1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spans="1:26" ht="15.75" customHeight="1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spans="1:26" ht="15.75" customHeight="1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spans="1:26" ht="15.75" customHeight="1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spans="1:26" ht="15.75" customHeight="1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spans="1:26" ht="15.75" customHeight="1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spans="1:26" ht="15.75" customHeight="1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spans="1:26" ht="15.75" customHeight="1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spans="1:26" ht="15.75" customHeight="1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spans="1:26" ht="15.75" customHeight="1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spans="1:26" ht="15.75" customHeight="1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spans="1:26" ht="15.75" customHeight="1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spans="1:26" ht="15.75" customHeight="1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spans="1:26" ht="15.75" customHeight="1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spans="1:26" ht="15.75" customHeight="1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spans="1:26" ht="15.75" customHeight="1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spans="1:26" ht="15.75" customHeight="1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spans="1:26" ht="15.75" customHeight="1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spans="1:26" ht="15.75" customHeight="1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spans="1:26" ht="15.75" customHeight="1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spans="1:26" ht="15.75" customHeight="1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spans="1:26" ht="15.75" customHeight="1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spans="1:26" ht="15.75" customHeight="1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15.75" customHeight="1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spans="1:26" ht="15.75" customHeight="1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spans="1:26" ht="15.75" customHeight="1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spans="1:26" ht="15.75" customHeight="1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spans="1:26" ht="15.75" customHeight="1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spans="1:26" ht="15.75" customHeight="1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spans="1:26" ht="15.75" customHeight="1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15.75" customHeight="1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spans="1:26" ht="15.75" customHeight="1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spans="1:26" ht="15.75" customHeight="1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spans="1:26" ht="15.75" customHeight="1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spans="1:26" ht="15.75" customHeight="1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spans="1:26" ht="15.75" customHeight="1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spans="1:26" ht="15.75" customHeight="1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spans="1:26" ht="15.75" customHeight="1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spans="1:26" ht="15.75" customHeight="1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spans="1:26" ht="15.75" customHeight="1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spans="1:26" ht="15.75" customHeight="1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spans="1:26" ht="15.75" customHeight="1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spans="1:26" ht="15.75" customHeight="1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spans="1:26" ht="15.75" customHeight="1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spans="1:26" ht="15.75" customHeight="1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spans="1:26" ht="15.75" customHeight="1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spans="1:26" ht="15.75" customHeight="1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spans="1:26" ht="15.75" customHeight="1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spans="1:26" ht="15.75" customHeight="1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spans="1:26" ht="15.75" customHeight="1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spans="1:26" ht="15.75" customHeight="1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spans="1:26" ht="15.75" customHeight="1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spans="1:26" ht="15.75" customHeight="1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spans="1:26" ht="15.75" customHeight="1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spans="1:26" ht="15.75" customHeight="1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spans="1:26" ht="15.75" customHeight="1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spans="1:26" ht="15.75" customHeight="1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spans="1:26" ht="15.75" customHeight="1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spans="1:26" ht="15.75" customHeight="1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spans="1:26" ht="15.75" customHeight="1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spans="1:26" ht="15.75" customHeight="1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spans="1:26" ht="15.75" customHeight="1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spans="1:26" ht="15.75" customHeight="1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spans="1:26" ht="15.75" customHeight="1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spans="1:26" ht="15.75" customHeight="1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spans="1:26" ht="15.75" customHeight="1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spans="1:26" ht="15.75" customHeight="1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spans="1:26" ht="15.75" customHeight="1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spans="1:26" ht="15.75" customHeight="1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spans="1:26" ht="15.75" customHeight="1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spans="1:26" ht="15.75" customHeight="1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spans="1:26" ht="15.75" customHeight="1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spans="1:26" ht="15.75" customHeight="1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spans="1:26" ht="15.75" customHeight="1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spans="1:26" ht="15.75" customHeight="1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spans="1:26" ht="15.75" customHeight="1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spans="1:26" ht="15.75" customHeight="1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spans="1:26" ht="15.75" customHeight="1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spans="1:26" ht="15.75" customHeight="1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spans="1:26" ht="15.75" customHeight="1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spans="1:26" ht="15.75" customHeight="1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spans="1:26" ht="15.75" customHeight="1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spans="1:26" ht="15.75" customHeight="1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spans="1:26" ht="15.75" customHeight="1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spans="1:26" ht="15.75" customHeight="1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spans="1:26" ht="15.75" customHeight="1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spans="1:26" ht="15.75" customHeight="1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spans="1:26" ht="15.75" customHeight="1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spans="1:26" ht="15.75" customHeight="1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spans="1:26" ht="15.75" customHeight="1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spans="1:26" ht="15.75" customHeight="1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spans="1:26" ht="15.75" customHeight="1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spans="1:26" ht="15.75" customHeight="1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spans="1:26" ht="15.75" customHeight="1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spans="1:26" ht="15.75" customHeight="1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spans="1:26" ht="15.75" customHeight="1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spans="1:26" ht="15.75" customHeight="1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spans="1:26" ht="15.75" customHeight="1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spans="1:26" ht="15.75" customHeight="1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spans="1:26" ht="15.75" customHeight="1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spans="1:26" ht="15.75" customHeight="1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spans="1:26" ht="15.75" customHeight="1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spans="1:26" ht="15.75" customHeight="1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spans="1:26" ht="15.75" customHeight="1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spans="1:26" ht="15.75" customHeight="1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spans="1:26" ht="15.75" customHeight="1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spans="1:26" ht="15.75" customHeight="1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spans="1:26" ht="15.75" customHeight="1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spans="1:26" ht="15.75" customHeight="1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spans="1:26" ht="15.75" customHeight="1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spans="1:26" ht="15.75" customHeight="1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spans="1:26" ht="15.75" customHeight="1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spans="1:26" ht="15.75" customHeight="1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spans="1:26" ht="15.75" customHeight="1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spans="1:26" ht="15.75" customHeight="1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spans="1:26" ht="15.75" customHeight="1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spans="1:26" ht="15.75" customHeight="1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spans="1:26" ht="15.75" customHeight="1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spans="1:26" ht="15.75" customHeight="1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spans="1:26" ht="15.75" customHeight="1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spans="1:26" ht="15.75" customHeight="1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spans="1:26" ht="15.75" customHeight="1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spans="1:26" ht="15.75" customHeight="1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spans="1:26" ht="15.75" customHeight="1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spans="1:26" ht="15.75" customHeight="1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spans="1:26" ht="15.75" customHeight="1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spans="1:26" ht="15.75" customHeight="1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spans="1:26" ht="15.75" customHeight="1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spans="1:26" ht="15.75" customHeight="1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spans="1:26" ht="15.75" customHeight="1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spans="1:26" ht="15.75" customHeight="1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spans="1:26" ht="15.75" customHeight="1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spans="1:26" ht="15.75" customHeight="1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spans="1:26" ht="15.75" customHeight="1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spans="1:26" ht="15.75" customHeight="1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spans="1:26" ht="15.75" customHeight="1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spans="1:26" ht="15.75" customHeight="1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spans="1:26" ht="15.75" customHeight="1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spans="1:26" ht="15.75" customHeight="1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spans="1:26" ht="15.75" customHeight="1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spans="1:26" ht="15.75" customHeight="1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spans="1:26" ht="15.75" customHeight="1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spans="1:26" ht="15.75" customHeight="1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spans="1:26" ht="15.75" customHeight="1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spans="1:26" ht="15.75" customHeight="1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spans="1:26" ht="15.75" customHeight="1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spans="1:26" ht="15.75" customHeight="1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spans="1:26" ht="15.75" customHeight="1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spans="1:26" ht="15.75" customHeight="1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spans="1:26" ht="15.75" customHeight="1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spans="1:26" ht="15.75" customHeight="1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spans="1:26" ht="15.75" customHeight="1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spans="1:26" ht="15.75" customHeight="1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spans="1:26" ht="15.75" customHeight="1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spans="1:26" ht="15.75" customHeight="1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spans="1:26" ht="15.75" customHeight="1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spans="1:26" ht="15.75" customHeight="1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spans="1:26" ht="15.75" customHeight="1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spans="1:26" ht="15.75" customHeight="1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spans="1:26" ht="15.75" customHeight="1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spans="1:26" ht="15.75" customHeight="1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spans="1:26" ht="15.75" customHeight="1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spans="1:26" ht="15.75" customHeight="1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spans="1:26" ht="15.75" customHeight="1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spans="1:26" ht="15.75" customHeight="1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spans="1:26" ht="15.75" customHeight="1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spans="1:26" ht="15.75" customHeight="1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spans="1:26" ht="15.75" customHeight="1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spans="1:26" ht="15.75" customHeight="1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spans="1:26" ht="15.75" customHeight="1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spans="1:26" ht="15.75" customHeight="1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spans="1:26" ht="15.75" customHeight="1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spans="1:26" ht="15.75" customHeight="1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spans="1:26" ht="15.75" customHeight="1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spans="1:26" ht="15.75" customHeight="1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spans="1:26" ht="15.75" customHeight="1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spans="1:26" ht="15.75" customHeight="1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spans="1:26" ht="15.75" customHeight="1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spans="1:26" ht="15.75" customHeight="1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spans="1:26" ht="15.75" customHeight="1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spans="1:26" ht="15.75" customHeight="1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spans="1:26" ht="15.75" customHeight="1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spans="1:26" ht="15.75" customHeight="1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spans="1:26" ht="15.75" customHeight="1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spans="1:26" ht="15.75" customHeight="1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spans="1:26" ht="15.75" customHeight="1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spans="1:26" ht="15.75" customHeight="1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spans="1:26" ht="15.75" customHeight="1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spans="1:26" ht="15.75" customHeight="1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spans="1:26" ht="15.75" customHeight="1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spans="1:26" ht="15.75" customHeight="1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spans="1:26" ht="15.75" customHeight="1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spans="1:26" ht="15.75" customHeight="1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spans="1:26" ht="15.75" customHeight="1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spans="1:26" ht="15.75" customHeight="1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spans="1:26" ht="15.75" customHeight="1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spans="1:26" ht="15.75" customHeight="1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spans="1:26" ht="15.75" customHeight="1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spans="1:26" ht="15.75" customHeight="1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spans="1:26" ht="15.75" customHeight="1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spans="1:26" ht="15.75" customHeight="1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spans="1:26" ht="15.75" customHeight="1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spans="1:26" ht="15.75" customHeight="1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spans="1:26" ht="15.75" customHeight="1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spans="1:26" ht="15.75" customHeight="1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spans="1:26" ht="15.75" customHeight="1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spans="1:26" ht="15.75" customHeight="1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spans="1:26" ht="15.75" customHeight="1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spans="1:26" ht="15.75" customHeight="1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spans="1:26" ht="15.75" customHeight="1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spans="1:26" ht="15.75" customHeight="1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spans="1:26" ht="15.75" customHeight="1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spans="1:26" ht="15.75" customHeight="1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spans="1:26" ht="15.75" customHeight="1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spans="1:26" ht="15.75" customHeight="1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spans="1:26" ht="15.75" customHeight="1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spans="1:26" ht="15.75" customHeight="1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spans="1:26" ht="15.75" customHeight="1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spans="1:26" ht="15.75" customHeight="1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spans="1:26" ht="15.75" customHeight="1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spans="1:26" ht="15.75" customHeight="1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spans="1:26" ht="15.75" customHeight="1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spans="1:26" ht="15.75" customHeight="1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spans="1:26" ht="15.75" customHeight="1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spans="1:26" ht="15.75" customHeight="1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spans="1:26" ht="15.75" customHeight="1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spans="1:26" ht="15.75" customHeight="1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spans="1:26" ht="15.75" customHeight="1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spans="1:26" ht="15.75" customHeight="1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spans="1:26" ht="15.75" customHeight="1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spans="1:26" ht="15.75" customHeight="1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spans="1:26" ht="15.75" customHeight="1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spans="1:26" ht="15.75" customHeight="1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spans="1:26" ht="15.75" customHeight="1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spans="1:26" ht="15.75" customHeight="1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spans="1:26" ht="15.75" customHeight="1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spans="1:26" ht="15.75" customHeight="1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spans="1:26" ht="15.75" customHeight="1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spans="1:26" ht="15.75" customHeight="1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spans="1:26" ht="15.75" customHeight="1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spans="1:26" ht="15.75" customHeight="1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spans="1:26" ht="15.75" customHeight="1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spans="1:26" ht="15.75" customHeight="1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spans="1:26" ht="15.75" customHeight="1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spans="1:26" ht="15.75" customHeight="1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spans="1:26" ht="15.75" customHeight="1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spans="1:26" ht="15.75" customHeight="1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spans="1:26" ht="15.75" customHeight="1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spans="1:26" ht="15.75" customHeight="1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spans="1:26" ht="15.75" customHeight="1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spans="1:26" ht="15.75" customHeight="1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spans="1:26" ht="15.75" customHeight="1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spans="1:26" ht="15.75" customHeight="1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spans="1:26" ht="15.75" customHeight="1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spans="1:26" ht="15.75" customHeight="1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spans="1:26" ht="15.75" customHeight="1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spans="1:26" ht="15.75" customHeight="1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spans="1:26" ht="15.75" customHeight="1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spans="1:26" ht="15.75" customHeight="1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spans="1:26" ht="15.75" customHeight="1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spans="1:26" ht="15.75" customHeight="1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spans="1:26" ht="15.75" customHeight="1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spans="1:26" ht="15.75" customHeight="1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spans="1:26" ht="15.75" customHeight="1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spans="1:26" ht="15.75" customHeight="1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spans="1:26" ht="15.75" customHeight="1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spans="1:26" ht="15.75" customHeight="1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spans="1:26" ht="15.75" customHeight="1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spans="1:26" ht="15.75" customHeight="1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spans="1:26" ht="15.75" customHeight="1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spans="1:26" ht="15.75" customHeight="1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spans="1:26" ht="15.75" customHeight="1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spans="1:26" ht="15.75" customHeight="1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spans="1:26" ht="15.75" customHeight="1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spans="1:26" ht="15.75" customHeight="1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spans="1:26" ht="15.75" customHeight="1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spans="1:26" ht="15.75" customHeight="1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spans="1:26" ht="15.75" customHeight="1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spans="1:26" ht="15.75" customHeight="1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spans="1:26" ht="15.75" customHeight="1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spans="1:26" ht="15.75" customHeight="1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spans="1:26" ht="15.75" customHeight="1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spans="1:26" ht="15.75" customHeight="1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spans="1:26" ht="15.75" customHeight="1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spans="1:26" ht="15.75" customHeight="1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spans="1:26" ht="15.75" customHeight="1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spans="1:26" ht="15.75" customHeight="1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spans="1:26" ht="15.75" customHeight="1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spans="1:26" ht="15.75" customHeight="1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spans="1:26" ht="15.75" customHeight="1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spans="1:26" ht="15.75" customHeight="1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spans="1:26" ht="15.75" customHeight="1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spans="1:26" ht="15.75" customHeight="1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spans="1:26" ht="15.75" customHeight="1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spans="1:26" ht="15.75" customHeight="1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spans="1:26" ht="15.75" customHeight="1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spans="1:26" ht="15.75" customHeight="1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spans="1:26" ht="15.75" customHeight="1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spans="1:26" ht="15.75" customHeight="1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spans="1:26" ht="15.75" customHeight="1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spans="1:26" ht="15.75" customHeight="1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spans="1:26" ht="15.75" customHeight="1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spans="1:26" ht="15.75" customHeight="1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spans="1:26" ht="15.75" customHeight="1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spans="1:26" ht="15.75" customHeight="1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spans="1:26" ht="15.75" customHeight="1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spans="1:26" ht="15.75" customHeight="1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spans="1:26" ht="15.75" customHeight="1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spans="1:26" ht="15.75" customHeight="1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spans="1:26" ht="15.75" customHeight="1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spans="1:26" ht="15.75" customHeight="1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spans="1:26" ht="15.75" customHeight="1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spans="1:26" ht="15.75" customHeight="1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spans="1:26" ht="15.75" customHeight="1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spans="1:26" ht="15.75" customHeight="1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spans="1:26" ht="15.75" customHeight="1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spans="1:26" ht="15.75" customHeight="1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spans="1:26" ht="15.75" customHeight="1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spans="1:26" ht="15.75" customHeight="1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spans="1:26" ht="15.75" customHeight="1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spans="1:26" ht="15.75" customHeight="1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spans="1:26" ht="15.75" customHeight="1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spans="1:26" ht="15.75" customHeight="1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spans="1:26" ht="15.75" customHeight="1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spans="1:26" ht="15.75" customHeight="1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spans="1:26" ht="15.75" customHeight="1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spans="1:26" ht="15.75" customHeight="1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spans="1:26" ht="15.75" customHeight="1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spans="1:26" ht="15.75" customHeight="1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spans="1:26" ht="15.75" customHeight="1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spans="1:26" ht="15.75" customHeight="1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spans="1:26" ht="15.75" customHeight="1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spans="1:26" ht="15.75" customHeight="1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spans="1:26" ht="15.75" customHeight="1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spans="1:26" ht="15.75" customHeight="1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spans="1:26" ht="15.75" customHeight="1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spans="1:26" ht="15.75" customHeight="1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spans="1:26" ht="15.75" customHeight="1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spans="1:26" ht="15.75" customHeight="1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spans="1:26" ht="15.75" customHeight="1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spans="1:26" ht="15.75" customHeight="1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spans="1:26" ht="15.75" customHeight="1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spans="1:26" ht="15.75" customHeight="1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spans="1:26" ht="15.75" customHeight="1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spans="1:26" ht="15.75" customHeight="1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spans="1:26" ht="15.75" customHeight="1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spans="1:26" ht="15.75" customHeight="1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spans="1:26" ht="15.75" customHeight="1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spans="1:26" ht="15.75" customHeight="1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spans="1:26" ht="15.75" customHeight="1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spans="1:26" ht="15.75" customHeight="1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spans="1:26" ht="15.75" customHeight="1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spans="1:26" ht="15.75" customHeight="1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spans="1:26" ht="15.75" customHeight="1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spans="1:26" ht="15.75" customHeight="1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spans="1:26" ht="15.75" customHeight="1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spans="1:26" ht="15.75" customHeight="1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spans="1:26" ht="15.75" customHeight="1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spans="1:26" ht="15.75" customHeight="1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spans="1:26" ht="15.75" customHeight="1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spans="1:26" ht="15.75" customHeight="1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spans="1:26" ht="15.75" customHeight="1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spans="1:26" ht="15.75" customHeight="1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spans="1:26" ht="15.75" customHeight="1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spans="1:26" ht="15.75" customHeight="1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spans="1:26" ht="15.75" customHeight="1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spans="1:26" ht="15.75" customHeight="1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spans="1:26" ht="15.75" customHeight="1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spans="1:26" ht="15.75" customHeight="1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spans="1:26" ht="15.75" customHeight="1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spans="1:26" ht="15.75" customHeight="1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spans="1:26" ht="15.75" customHeight="1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spans="1:26" ht="15.75" customHeight="1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spans="1:26" ht="15.75" customHeight="1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spans="1:26" ht="15.75" customHeight="1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spans="1:26" ht="15.75" customHeight="1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spans="1:26" ht="15.75" customHeight="1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spans="1:26" ht="15.75" customHeight="1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spans="1:26" ht="15.75" customHeight="1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spans="1:26" ht="15.75" customHeight="1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spans="1:26" ht="15.75" customHeight="1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spans="1:26" ht="15.75" customHeight="1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spans="1:26" ht="15.75" customHeight="1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spans="1:26" ht="15.75" customHeight="1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spans="1:26" ht="15.75" customHeight="1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spans="1:26" ht="15.75" customHeight="1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spans="1:26" ht="15.75" customHeight="1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spans="1:26" ht="15.75" customHeight="1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spans="1:26" ht="15.75" customHeight="1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spans="1:26" ht="15.75" customHeight="1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spans="1:26" ht="15.75" customHeight="1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spans="1:26" ht="15.75" customHeight="1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spans="1:26" ht="15.75" customHeight="1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spans="1:26" ht="15.75" customHeight="1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spans="1:26" ht="15.75" customHeight="1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spans="1:26" ht="15.75" customHeight="1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spans="1:26" ht="15.75" customHeight="1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spans="1:26" ht="15.75" customHeight="1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spans="1:26" ht="15.75" customHeight="1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spans="1:26" ht="15.75" customHeight="1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spans="1:26" ht="15.75" customHeight="1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spans="1:26" ht="15.75" customHeight="1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spans="1:26" ht="15.75" customHeight="1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spans="1:26" ht="15.75" customHeight="1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spans="1:26" ht="15.75" customHeight="1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spans="1:26" ht="15.75" customHeight="1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spans="1:26" ht="15.75" customHeight="1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spans="1:26" ht="15.75" customHeight="1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spans="1:26" ht="15.75" customHeight="1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spans="1:26" ht="15.75" customHeight="1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spans="1:26" ht="15.75" customHeight="1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spans="1:26" ht="15.75" customHeight="1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spans="1:26" ht="15.75" customHeight="1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spans="1:26" ht="15.75" customHeight="1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spans="1:26" ht="15.75" customHeight="1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spans="1:26" ht="15.75" customHeight="1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spans="1:26" ht="15.75" customHeight="1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spans="1:26" ht="15.75" customHeight="1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spans="1:26" ht="15.75" customHeight="1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spans="1:26" ht="15.75" customHeight="1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spans="1:26" ht="15.75" customHeight="1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spans="1:26" ht="15.75" customHeight="1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spans="1:26" ht="15.75" customHeight="1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spans="1:26" ht="15.75" customHeight="1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spans="1:26" ht="15.75" customHeight="1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spans="1:26" ht="15.75" customHeight="1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spans="1:26" ht="15.75" customHeight="1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spans="1:26" ht="15.75" customHeight="1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spans="1:26" ht="15.75" customHeight="1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spans="1:26" ht="15.75" customHeight="1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spans="1:26" ht="15.75" customHeight="1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spans="1:26" ht="15.75" customHeight="1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spans="1:26" ht="15.75" customHeight="1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spans="1:26" ht="15.75" customHeight="1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spans="1:26" ht="15.75" customHeight="1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spans="1:26" ht="15.75" customHeight="1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spans="1:26" ht="15.75" customHeight="1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spans="1:26" ht="15.75" customHeight="1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spans="1:26" ht="15.75" customHeight="1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spans="1:26" ht="15.75" customHeight="1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spans="1:26" ht="15.75" customHeight="1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spans="1:26" ht="15.75" customHeight="1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spans="1:26" ht="15.75" customHeight="1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spans="1:26" ht="15.75" customHeight="1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spans="1:26" ht="15.75" customHeight="1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spans="1:26" ht="15.75" customHeight="1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spans="1:26" ht="15.75" customHeight="1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spans="1:26" ht="15.75" customHeight="1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spans="1:26" ht="15.75" customHeight="1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spans="1:26" ht="15.75" customHeight="1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spans="1:26" ht="15.75" customHeight="1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spans="1:26" ht="15.75" customHeight="1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spans="1:26" ht="15.75" customHeight="1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spans="1:26" ht="15.75" customHeight="1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spans="1:26" ht="15.75" customHeight="1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spans="1:26" ht="15.75" customHeight="1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spans="1:26" ht="15.75" customHeight="1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spans="1:26" ht="15.75" customHeight="1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spans="1:26" ht="15.75" customHeight="1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spans="1:26" ht="15.75" customHeight="1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spans="1:26" ht="15.75" customHeight="1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spans="1:26" ht="15.75" customHeight="1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spans="1:26" ht="15.75" customHeight="1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spans="1:26" ht="15.75" customHeight="1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spans="1:26" ht="15.75" customHeight="1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spans="1:26" ht="15.75" customHeight="1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spans="1:26" ht="15.75" customHeight="1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spans="1:26" ht="15.75" customHeight="1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spans="1:26" ht="15.75" customHeight="1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spans="1:26" ht="15.75" customHeight="1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spans="1:26" ht="15.75" customHeight="1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spans="1:26" ht="15.75" customHeight="1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spans="1:26" ht="15.75" customHeight="1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spans="1:26" ht="15.75" customHeight="1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spans="1:26" ht="15.75" customHeight="1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spans="1:26" ht="15.75" customHeight="1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spans="1:26" ht="15.75" customHeight="1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spans="1:26" ht="15.75" customHeight="1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spans="1:26" ht="15.75" customHeight="1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spans="1:26" ht="15.75" customHeight="1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spans="1:26" ht="15.75" customHeight="1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spans="1:26" ht="15.75" customHeight="1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spans="1:26" ht="15.75" customHeight="1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spans="1:26" ht="15.75" customHeight="1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spans="1:26" ht="15.75" customHeight="1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spans="1:26" ht="15.75" customHeight="1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spans="1:26" ht="15.75" customHeight="1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spans="1:26" ht="15.75" customHeight="1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spans="1:26" ht="15.75" customHeight="1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spans="1:26" ht="15.75" customHeight="1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spans="1:26" ht="15.75" customHeight="1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spans="1:26" ht="15.75" customHeight="1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spans="1:26" ht="15.75" customHeight="1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spans="1:26" ht="15.75" customHeight="1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spans="1:26" ht="15.75" customHeight="1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spans="1:26" ht="15.75" customHeight="1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spans="1:26" ht="15.75" customHeight="1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spans="1:26" ht="15.75" customHeight="1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spans="1:26" ht="15.75" customHeight="1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spans="1:26" ht="15.75" customHeight="1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spans="1:26" ht="15.75" customHeight="1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spans="1:26" ht="15.75" customHeight="1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spans="1:26" ht="15.75" customHeight="1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spans="1:26" ht="15.75" customHeight="1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spans="1:26" ht="15.75" customHeight="1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spans="1:26" ht="15.75" customHeight="1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spans="1:26" ht="15.75" customHeight="1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spans="1:26" ht="15.75" customHeight="1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spans="1:26" ht="15.75" customHeight="1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spans="1:26" ht="15.75" customHeight="1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spans="1:26" ht="15.75" customHeight="1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spans="1:26" ht="15.75" customHeight="1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spans="1:26" ht="15.75" customHeight="1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spans="1:26" ht="15.75" customHeight="1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spans="1:26" ht="15.75" customHeight="1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spans="1:26" ht="15.75" customHeight="1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spans="1:26" ht="15.75" customHeight="1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spans="1:26" ht="15.75" customHeight="1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spans="1:26" ht="15.75" customHeight="1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spans="1:26" ht="15.75" customHeight="1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spans="1:26" ht="15.75" customHeight="1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spans="1:26" ht="15.75" customHeight="1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spans="1:26" ht="15.75" customHeight="1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spans="1:26" ht="15.75" customHeight="1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spans="1:26" ht="15.75" customHeight="1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spans="1:26" ht="15.75" customHeight="1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spans="1:26" ht="15.75" customHeight="1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spans="1:26" ht="15.75" customHeight="1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spans="1:26" ht="15.75" customHeight="1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spans="1:26" ht="15.75" customHeight="1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spans="1:26" ht="15.75" customHeight="1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spans="1:26" ht="15.75" customHeight="1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spans="1:26" ht="15.75" customHeight="1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spans="1:26" ht="15.75" customHeight="1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spans="1:26" ht="15.75" customHeight="1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6" ht="15.75" customHeight="1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spans="1:26" ht="15.75" customHeight="1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spans="1:26" ht="15.75" customHeight="1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spans="1:26" ht="15.75" customHeight="1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spans="1:26" ht="15.75" customHeight="1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spans="1:26" ht="15.75" customHeight="1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spans="1:26" ht="15.75" customHeight="1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spans="1:26" ht="15.75" customHeight="1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spans="1:26" ht="15.75" customHeight="1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spans="1:26" ht="15.75" customHeight="1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spans="1:26" ht="15.75" customHeight="1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spans="1:26" ht="15.75" customHeight="1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spans="1:26" ht="15.75" customHeight="1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spans="1:26" ht="15.75" customHeight="1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spans="1:26" ht="15.75" customHeight="1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spans="1:26" ht="15.75" customHeight="1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spans="1:26" ht="15.75" customHeight="1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spans="1:26" ht="15.75" customHeight="1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spans="1:26" ht="15.75" customHeight="1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spans="1:26" ht="15.75" customHeight="1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spans="1:26" ht="15.75" customHeight="1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spans="1:26" ht="15.75" customHeight="1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spans="1:26" ht="15.75" customHeight="1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spans="1:26" ht="15.75" customHeight="1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spans="1:26" ht="15.75" customHeight="1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spans="1:26" ht="15.75" customHeight="1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spans="1:26" ht="15.75" customHeight="1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spans="1:26" ht="15.75" customHeight="1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spans="1:26" ht="15.75" customHeight="1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spans="1:26" ht="15.75" customHeight="1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spans="1:26" ht="15.75" customHeight="1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spans="1:26" ht="15.75" customHeight="1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spans="1:26" ht="15.75" customHeight="1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spans="1:26" ht="15.75" customHeight="1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spans="1:26" ht="15.75" customHeight="1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spans="1:26" ht="15.75" customHeight="1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spans="1:26" ht="15.75" customHeight="1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spans="1:26" ht="15.75" customHeight="1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spans="1:26" ht="15.75" customHeight="1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spans="1:26" ht="15.75" customHeight="1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spans="1:26" ht="15.75" customHeight="1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spans="1:26" ht="15.75" customHeight="1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spans="1:26" ht="15.75" customHeight="1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spans="1:26" ht="15.75" customHeight="1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spans="1:26" ht="15.75" customHeight="1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spans="1:26" ht="15.75" customHeight="1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spans="1:26" ht="15.75" customHeight="1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spans="1:26" ht="15.75" customHeight="1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spans="1:26" ht="15.75" customHeight="1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spans="1:26" ht="15.75" customHeight="1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spans="1:26" ht="15.75" customHeight="1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spans="1:26" ht="15.75" customHeight="1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spans="1:26" ht="15.75" customHeight="1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spans="1:26" ht="15.75" customHeight="1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spans="1:26" ht="15.75" customHeight="1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spans="1:26" ht="15.75" customHeight="1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spans="1:26" ht="15.75" customHeight="1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spans="1:26" ht="15.75" customHeight="1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spans="1:26" ht="15.75" customHeight="1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spans="1:26" ht="15.75" customHeight="1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spans="1:26" ht="15.75" customHeight="1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spans="1:26" ht="15.75" customHeight="1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spans="1:26" ht="15.75" customHeight="1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spans="1:26" ht="15.75" customHeight="1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spans="1:26" ht="15.75" customHeight="1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spans="1:26" ht="15.75" customHeight="1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spans="1:26" ht="15.75" customHeight="1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spans="1:26" ht="15.75" customHeight="1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spans="1:26" ht="15.75" customHeight="1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spans="1:26" ht="15.75" customHeight="1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spans="1:26" ht="15.75" customHeight="1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spans="1:26" ht="15.75" customHeight="1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spans="1:26" ht="15.75" customHeight="1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spans="1:26" ht="15.75" customHeight="1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spans="1:26" ht="15.75" customHeight="1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spans="1:26" ht="15.75" customHeight="1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spans="1:26" ht="15.75" customHeight="1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spans="1:26" ht="15.75" customHeight="1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spans="1:26" ht="15.75" customHeight="1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spans="1:26" ht="15.75" customHeight="1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spans="1:26" ht="15.75" customHeight="1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spans="1:26" ht="15.75" customHeight="1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spans="1:26" ht="15.75" customHeight="1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spans="1:26" ht="15.75" customHeight="1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spans="1:26" ht="15.75" customHeight="1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spans="1:26" ht="15.75" customHeight="1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spans="1:26" ht="15.75" customHeight="1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spans="1:26" ht="15.75" customHeight="1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spans="1:26" ht="15.75" customHeight="1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spans="1:26" ht="15.75" customHeight="1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spans="1:26" ht="15.75" customHeight="1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spans="1:26" ht="15.75" customHeight="1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spans="1:26" ht="15.75" customHeight="1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spans="1:26" ht="15.75" customHeight="1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spans="1:26" ht="15.75" customHeight="1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spans="1:26" ht="15.75" customHeight="1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spans="1:26" ht="15.75" customHeight="1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spans="1:26" ht="15.75" customHeight="1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spans="1:26" ht="15.75" customHeight="1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spans="1:26" ht="15.75" customHeight="1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spans="1:26" ht="15.75" customHeight="1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spans="1:26" ht="15.75" customHeight="1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spans="1:26" ht="15.75" customHeight="1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spans="1:26" ht="15.75" customHeight="1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spans="1:26" ht="15.75" customHeight="1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spans="1:26" ht="15.75" customHeight="1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spans="1:26" ht="15.75" customHeight="1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spans="1:26" ht="15.75" customHeight="1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spans="1:26" ht="15.75" customHeight="1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spans="1:26" ht="15.75" customHeight="1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spans="1:26" ht="15.75" customHeight="1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spans="1:26" ht="15.75" customHeight="1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spans="1:26" ht="15.75" customHeight="1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spans="1:26" ht="15.75" customHeight="1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spans="1:26" ht="15.75" customHeight="1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spans="1:26" ht="15.75" customHeight="1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spans="1:26" ht="15.75" customHeight="1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spans="1:26" ht="15.75" customHeight="1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spans="1:26" ht="15.75" customHeight="1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spans="1:26" ht="15.75" customHeight="1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spans="1:26" ht="15.75" customHeight="1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spans="1:26" ht="15.75" customHeight="1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spans="1:26" ht="15.75" customHeight="1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spans="1:26" ht="15.75" customHeight="1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spans="1:26" ht="15.75" customHeight="1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spans="1:26" ht="15.75" customHeight="1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spans="1:26" ht="15.75" customHeight="1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spans="1:26" ht="15.75" customHeight="1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spans="1:26" ht="15.75" customHeight="1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spans="1:26" ht="15.75" customHeight="1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spans="1:26" ht="15.75" customHeight="1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spans="1:26" ht="15.75" customHeight="1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spans="1:26" ht="15.75" customHeight="1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spans="1:26" ht="15.75" customHeight="1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spans="1:26" ht="15.75" customHeight="1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spans="1:26" ht="15.75" customHeight="1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spans="1:26" ht="15.75" customHeight="1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spans="1:26" ht="15.75" customHeight="1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spans="1:26" ht="15.75" customHeight="1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spans="1:26" ht="15.75" customHeight="1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spans="1:26" ht="15.75" customHeight="1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spans="1:26" ht="15.75" customHeight="1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spans="1:26" ht="15.75" customHeight="1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spans="1:26" ht="15.75" customHeight="1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spans="1:26" ht="15.75" customHeight="1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spans="1:26" ht="15.75" customHeight="1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spans="1:26" ht="15.75" customHeight="1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spans="1:26" ht="15.75" customHeight="1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spans="1:26" ht="15.75" customHeight="1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spans="1:26" ht="15.75" customHeight="1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spans="1:26" ht="15.75" customHeight="1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spans="1:26" ht="15.75" customHeight="1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spans="1:26" ht="15.75" customHeight="1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spans="1:26" ht="15.75" customHeight="1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spans="1:26" ht="15.75" customHeight="1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spans="1:26" ht="15.75" customHeight="1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spans="1:26" ht="15.75" customHeight="1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spans="1:26" ht="15.75" customHeight="1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spans="1:26" ht="15.75" customHeight="1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spans="1:26" ht="15.75" customHeight="1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spans="1:26" ht="15.75" customHeight="1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spans="1:26" ht="15.75" customHeight="1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spans="1:26" ht="15.75" customHeight="1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spans="1:26" ht="15.75" customHeight="1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spans="1:26" ht="15.75" customHeight="1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spans="1:26" ht="15.75" customHeight="1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spans="1:26" ht="15.75" customHeight="1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spans="1:26" ht="15.75" customHeight="1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spans="1:26" ht="15.75" customHeight="1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spans="1:26" ht="15.75" customHeight="1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spans="1:26" ht="15.75" customHeight="1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spans="1:26" ht="15.75" customHeight="1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spans="1:26" ht="15.75" customHeight="1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spans="1:26" ht="15.75" customHeight="1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spans="1:26" ht="15.75" customHeight="1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spans="1:26" ht="15.75" customHeight="1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spans="1:26" ht="15.75" customHeight="1" x14ac:dyDescent="0.3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spans="1:26" ht="15.75" customHeight="1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spans="1:26" ht="15.75" customHeight="1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spans="1:26" ht="15.75" customHeight="1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spans="1:26" ht="15.75" customHeight="1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spans="1:26" ht="15.75" customHeight="1" x14ac:dyDescent="0.3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spans="1:26" ht="15.75" customHeight="1" x14ac:dyDescent="0.3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spans="1:26" ht="15.75" customHeight="1" x14ac:dyDescent="0.3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spans="1:26" ht="15.75" customHeight="1" x14ac:dyDescent="0.3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spans="1:26" ht="15.75" customHeight="1" x14ac:dyDescent="0.3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spans="1:26" ht="15.75" customHeight="1" x14ac:dyDescent="0.3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spans="1:26" ht="15.75" customHeight="1" x14ac:dyDescent="0.3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spans="1:26" ht="15.75" customHeight="1" x14ac:dyDescent="0.3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spans="1:26" ht="15.75" customHeight="1" x14ac:dyDescent="0.3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spans="1:26" ht="15.75" customHeight="1" x14ac:dyDescent="0.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spans="1:26" ht="15.75" customHeight="1" x14ac:dyDescent="0.3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spans="1:26" ht="15.75" customHeight="1" x14ac:dyDescent="0.3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spans="1:26" ht="15.75" customHeight="1" x14ac:dyDescent="0.3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spans="1:26" ht="15.75" customHeight="1" x14ac:dyDescent="0.3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spans="1:26" ht="15.75" customHeight="1" x14ac:dyDescent="0.3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spans="1:26" ht="15.75" customHeight="1" x14ac:dyDescent="0.3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spans="1:26" ht="15.75" customHeight="1" x14ac:dyDescent="0.3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spans="1:26" ht="15.75" customHeight="1" x14ac:dyDescent="0.3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spans="1:26" ht="15.75" customHeight="1" x14ac:dyDescent="0.3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spans="1:26" ht="15.75" customHeight="1" x14ac:dyDescent="0.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spans="1:26" ht="15.75" customHeight="1" x14ac:dyDescent="0.3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spans="1:26" ht="15.75" customHeight="1" x14ac:dyDescent="0.3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spans="1:26" ht="15.75" customHeight="1" x14ac:dyDescent="0.3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spans="1:26" ht="15.75" customHeight="1" x14ac:dyDescent="0.3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spans="1:26" ht="15.75" customHeight="1" x14ac:dyDescent="0.3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spans="1:26" ht="15.75" customHeight="1" x14ac:dyDescent="0.3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spans="1:26" ht="15.75" customHeight="1" x14ac:dyDescent="0.3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spans="1:26" ht="15.75" customHeight="1" x14ac:dyDescent="0.3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spans="1:26" ht="15.75" customHeight="1" x14ac:dyDescent="0.3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spans="1:26" ht="15.75" customHeight="1" x14ac:dyDescent="0.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spans="1:26" ht="15.75" customHeight="1" x14ac:dyDescent="0.3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spans="1:26" ht="15.75" customHeight="1" x14ac:dyDescent="0.3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spans="1:26" ht="15.75" customHeight="1" x14ac:dyDescent="0.3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spans="1:26" ht="15.75" customHeight="1" x14ac:dyDescent="0.3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spans="1:26" ht="15.75" customHeight="1" x14ac:dyDescent="0.3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spans="1:26" ht="15.75" customHeight="1" x14ac:dyDescent="0.3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spans="1:26" ht="15.75" customHeight="1" x14ac:dyDescent="0.3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spans="1:26" ht="15.75" customHeight="1" x14ac:dyDescent="0.3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spans="1:26" ht="15.75" customHeight="1" x14ac:dyDescent="0.3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spans="1:26" ht="15.75" customHeight="1" x14ac:dyDescent="0.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spans="1:26" ht="15.75" customHeight="1" x14ac:dyDescent="0.3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spans="1:26" ht="15.75" customHeight="1" x14ac:dyDescent="0.3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spans="1:26" ht="15.75" customHeight="1" x14ac:dyDescent="0.3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spans="1:26" ht="15.75" customHeight="1" x14ac:dyDescent="0.3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spans="1:26" ht="15.75" customHeight="1" x14ac:dyDescent="0.3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spans="1:26" ht="15.75" customHeight="1" x14ac:dyDescent="0.3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spans="1:26" ht="15.75" customHeight="1" x14ac:dyDescent="0.3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spans="1:26" ht="15.75" customHeight="1" x14ac:dyDescent="0.3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spans="1:26" ht="15.75" customHeight="1" x14ac:dyDescent="0.3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spans="1:26" ht="15.75" customHeight="1" x14ac:dyDescent="0.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spans="1:26" ht="15.75" customHeight="1" x14ac:dyDescent="0.3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spans="1:26" ht="15.75" customHeight="1" x14ac:dyDescent="0.3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spans="1:26" ht="15.75" customHeight="1" x14ac:dyDescent="0.3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spans="1:26" ht="15.75" customHeight="1" x14ac:dyDescent="0.3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spans="1:26" ht="15.75" customHeight="1" x14ac:dyDescent="0.3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spans="1:26" ht="15.75" customHeight="1" x14ac:dyDescent="0.3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spans="1:26" ht="15.75" customHeight="1" x14ac:dyDescent="0.3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spans="1:26" ht="15.75" customHeight="1" x14ac:dyDescent="0.3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spans="1:26" ht="15.75" customHeight="1" x14ac:dyDescent="0.3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spans="1:26" ht="15.75" customHeight="1" x14ac:dyDescent="0.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spans="1:26" ht="15.75" customHeight="1" x14ac:dyDescent="0.3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spans="1:26" ht="15.75" customHeight="1" x14ac:dyDescent="0.3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spans="1:26" ht="15.75" customHeight="1" x14ac:dyDescent="0.3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spans="1:26" ht="15.75" customHeight="1" x14ac:dyDescent="0.3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spans="1:26" ht="15.75" customHeight="1" x14ac:dyDescent="0.3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spans="1:26" ht="15.75" customHeight="1" x14ac:dyDescent="0.3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spans="1:26" ht="15.75" customHeight="1" x14ac:dyDescent="0.3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spans="1:26" ht="15.75" customHeight="1" x14ac:dyDescent="0.3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spans="1:26" ht="15.75" customHeight="1" x14ac:dyDescent="0.3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spans="1:26" ht="15.75" customHeight="1" x14ac:dyDescent="0.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spans="1:26" ht="15.75" customHeight="1" x14ac:dyDescent="0.3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spans="1:26" ht="15.75" customHeight="1" x14ac:dyDescent="0.3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spans="1:26" ht="15.75" customHeight="1" x14ac:dyDescent="0.3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spans="1:26" ht="15.75" customHeight="1" x14ac:dyDescent="0.3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spans="1:26" ht="15.75" customHeight="1" x14ac:dyDescent="0.3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spans="1:26" ht="15.75" customHeight="1" x14ac:dyDescent="0.3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spans="1:26" ht="15.75" customHeight="1" x14ac:dyDescent="0.3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spans="1:26" ht="15.75" customHeight="1" x14ac:dyDescent="0.3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spans="1:26" ht="15.75" customHeight="1" x14ac:dyDescent="0.3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spans="1:26" ht="15.75" customHeight="1" x14ac:dyDescent="0.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spans="1:26" ht="15.75" customHeight="1" x14ac:dyDescent="0.3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spans="1:26" ht="15.75" customHeight="1" x14ac:dyDescent="0.3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spans="1:26" ht="15.75" customHeight="1" x14ac:dyDescent="0.3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spans="1:26" ht="15.75" customHeight="1" x14ac:dyDescent="0.3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spans="1:26" ht="15.75" customHeight="1" x14ac:dyDescent="0.3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spans="1:26" ht="15.75" customHeight="1" x14ac:dyDescent="0.3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spans="1:26" ht="15.75" customHeight="1" x14ac:dyDescent="0.3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spans="1:26" ht="15.75" customHeight="1" x14ac:dyDescent="0.3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spans="1:26" ht="15.75" customHeight="1" x14ac:dyDescent="0.3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spans="1:26" ht="15.75" customHeight="1" x14ac:dyDescent="0.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spans="1:26" ht="15.75" customHeight="1" x14ac:dyDescent="0.3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spans="1:26" ht="15.75" customHeight="1" x14ac:dyDescent="0.3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spans="1:26" ht="15.75" customHeight="1" x14ac:dyDescent="0.3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spans="1:26" ht="15.75" customHeight="1" x14ac:dyDescent="0.3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spans="1:26" ht="15.75" customHeight="1" x14ac:dyDescent="0.3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spans="1:26" ht="15.75" customHeight="1" x14ac:dyDescent="0.3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spans="1:26" ht="15.75" customHeight="1" x14ac:dyDescent="0.3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spans="1:26" ht="15.75" customHeight="1" x14ac:dyDescent="0.3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spans="1:26" ht="15.75" customHeight="1" x14ac:dyDescent="0.3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spans="1:26" ht="15.75" customHeight="1" x14ac:dyDescent="0.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spans="1:26" ht="15.75" customHeight="1" x14ac:dyDescent="0.3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spans="1:26" ht="15.75" customHeight="1" x14ac:dyDescent="0.3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spans="1:26" ht="15.75" customHeight="1" x14ac:dyDescent="0.3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spans="1:26" ht="15.75" customHeight="1" x14ac:dyDescent="0.3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spans="1:26" ht="15.75" customHeight="1" x14ac:dyDescent="0.3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spans="1:26" ht="15.75" customHeight="1" x14ac:dyDescent="0.3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spans="1:26" ht="15.75" customHeight="1" x14ac:dyDescent="0.3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51">
    <mergeCell ref="A48:E48"/>
    <mergeCell ref="A40:E40"/>
    <mergeCell ref="A41:E41"/>
    <mergeCell ref="I41:K41"/>
    <mergeCell ref="A42:D42"/>
    <mergeCell ref="I42:K42"/>
    <mergeCell ref="A43:E43"/>
    <mergeCell ref="I40:K40"/>
    <mergeCell ref="N40:U40"/>
    <mergeCell ref="A45:D45"/>
    <mergeCell ref="A46:D46"/>
    <mergeCell ref="A47:E47"/>
    <mergeCell ref="I47:K47"/>
    <mergeCell ref="N47:X47"/>
    <mergeCell ref="N45:X45"/>
    <mergeCell ref="A35:E35"/>
    <mergeCell ref="I35:K35"/>
    <mergeCell ref="A36:E36"/>
    <mergeCell ref="O37:U37"/>
    <mergeCell ref="I39:K39"/>
    <mergeCell ref="O30:P30"/>
    <mergeCell ref="O31:P31"/>
    <mergeCell ref="C26:E26"/>
    <mergeCell ref="G26:I26"/>
    <mergeCell ref="G27:I27"/>
    <mergeCell ref="O27:P27"/>
    <mergeCell ref="O28:P28"/>
    <mergeCell ref="B29:E29"/>
    <mergeCell ref="G29:I29"/>
    <mergeCell ref="G23:I23"/>
    <mergeCell ref="O23:P23"/>
    <mergeCell ref="C24:E24"/>
    <mergeCell ref="G24:I24"/>
    <mergeCell ref="O29:P29"/>
    <mergeCell ref="O20:P20"/>
    <mergeCell ref="O21:P21"/>
    <mergeCell ref="G21:I21"/>
    <mergeCell ref="G22:I22"/>
    <mergeCell ref="O22:P22"/>
    <mergeCell ref="U12:W12"/>
    <mergeCell ref="N13:V13"/>
    <mergeCell ref="O17:P17"/>
    <mergeCell ref="O18:P18"/>
    <mergeCell ref="A19:L19"/>
    <mergeCell ref="O19:P19"/>
    <mergeCell ref="A2:L2"/>
    <mergeCell ref="A3:L3"/>
    <mergeCell ref="A5:L6"/>
    <mergeCell ref="N8:X8"/>
    <mergeCell ref="B10:C10"/>
    <mergeCell ref="U10:X10"/>
  </mergeCells>
  <printOptions horizontalCentered="1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1">
        <v>1</v>
      </c>
      <c r="B4" s="15" t="s">
        <v>150</v>
      </c>
    </row>
    <row r="5" spans="1:2" ht="14.25" customHeight="1" x14ac:dyDescent="0.3">
      <c r="A5" s="1">
        <v>2</v>
      </c>
      <c r="B5" s="15" t="s">
        <v>151</v>
      </c>
    </row>
    <row r="6" spans="1:2" ht="14.25" customHeight="1" x14ac:dyDescent="0.3">
      <c r="A6" s="1">
        <v>3</v>
      </c>
      <c r="B6" s="15" t="s">
        <v>152</v>
      </c>
    </row>
    <row r="7" spans="1:2" ht="14.25" customHeight="1" x14ac:dyDescent="0.3">
      <c r="A7" s="1">
        <v>4</v>
      </c>
      <c r="B7" s="15" t="s">
        <v>153</v>
      </c>
    </row>
    <row r="8" spans="1:2" ht="14.25" customHeight="1" x14ac:dyDescent="0.3">
      <c r="A8" s="1">
        <v>5</v>
      </c>
      <c r="B8" s="15" t="s">
        <v>154</v>
      </c>
    </row>
    <row r="9" spans="1:2" ht="14.25" customHeight="1" x14ac:dyDescent="0.3">
      <c r="A9" s="1">
        <v>6</v>
      </c>
      <c r="B9" s="15" t="s">
        <v>155</v>
      </c>
    </row>
    <row r="10" spans="1:2" ht="14.25" customHeight="1" x14ac:dyDescent="0.3">
      <c r="A10" s="1">
        <v>7</v>
      </c>
      <c r="B10" s="15" t="s">
        <v>156</v>
      </c>
    </row>
    <row r="11" spans="1:2" ht="14.25" customHeight="1" x14ac:dyDescent="0.3">
      <c r="A11" s="1">
        <v>8</v>
      </c>
      <c r="B11" s="15" t="s">
        <v>157</v>
      </c>
    </row>
    <row r="12" spans="1:2" ht="14.25" customHeight="1" x14ac:dyDescent="0.3">
      <c r="A12" s="1">
        <v>9</v>
      </c>
      <c r="B12" s="15" t="s">
        <v>158</v>
      </c>
    </row>
    <row r="13" spans="1:2" ht="14.25" customHeight="1" x14ac:dyDescent="0.3">
      <c r="A13" s="1">
        <v>10</v>
      </c>
      <c r="B13" s="15" t="s">
        <v>159</v>
      </c>
    </row>
    <row r="14" spans="1:2" ht="14.25" customHeight="1" x14ac:dyDescent="0.3">
      <c r="A14" s="1">
        <v>11</v>
      </c>
      <c r="B14" s="15" t="s">
        <v>160</v>
      </c>
    </row>
    <row r="15" spans="1:2" ht="14.25" customHeight="1" x14ac:dyDescent="0.3">
      <c r="A15" s="1">
        <v>12</v>
      </c>
      <c r="B15" s="15" t="s">
        <v>161</v>
      </c>
    </row>
    <row r="16" spans="1:2" ht="14.25" customHeight="1" x14ac:dyDescent="0.3">
      <c r="A16" s="13"/>
    </row>
    <row r="17" spans="1:1" ht="14.25" customHeight="1" x14ac:dyDescent="0.3">
      <c r="A17" s="13"/>
    </row>
    <row r="18" spans="1:1" ht="14.25" customHeight="1" x14ac:dyDescent="0.3">
      <c r="A18" s="13"/>
    </row>
    <row r="19" spans="1:1" ht="14.25" customHeight="1" x14ac:dyDescent="0.3">
      <c r="A19" s="13"/>
    </row>
    <row r="20" spans="1:1" ht="14.25" customHeight="1" x14ac:dyDescent="0.3">
      <c r="A20" s="13"/>
    </row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8">
        <v>1</v>
      </c>
      <c r="B4" s="86" t="s">
        <v>163</v>
      </c>
    </row>
    <row r="5" spans="1:2" ht="14.25" customHeight="1" x14ac:dyDescent="0.3">
      <c r="A5" s="8">
        <v>2</v>
      </c>
      <c r="B5" s="86" t="s">
        <v>164</v>
      </c>
    </row>
    <row r="6" spans="1:2" ht="14.25" customHeight="1" x14ac:dyDescent="0.3">
      <c r="A6" s="8">
        <v>3</v>
      </c>
      <c r="B6" s="86" t="s">
        <v>165</v>
      </c>
    </row>
    <row r="7" spans="1:2" ht="14.25" customHeight="1" x14ac:dyDescent="0.3">
      <c r="A7" s="8">
        <v>4</v>
      </c>
      <c r="B7" s="86" t="s">
        <v>166</v>
      </c>
    </row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1">
        <v>1</v>
      </c>
      <c r="B4" s="15" t="s">
        <v>168</v>
      </c>
    </row>
    <row r="5" spans="1:2" ht="14.25" customHeight="1" x14ac:dyDescent="0.3">
      <c r="A5" s="1">
        <v>2</v>
      </c>
      <c r="B5" s="15" t="s">
        <v>169</v>
      </c>
    </row>
    <row r="6" spans="1:2" ht="14.25" customHeight="1" x14ac:dyDescent="0.3">
      <c r="A6" s="1">
        <v>3</v>
      </c>
      <c r="B6" s="15" t="s">
        <v>170</v>
      </c>
    </row>
    <row r="7" spans="1:2" ht="14.25" customHeight="1" x14ac:dyDescent="0.3">
      <c r="A7" s="1">
        <v>4</v>
      </c>
      <c r="B7" s="15" t="s">
        <v>171</v>
      </c>
    </row>
    <row r="8" spans="1:2" ht="14.25" customHeight="1" x14ac:dyDescent="0.3">
      <c r="A8" s="1">
        <v>5</v>
      </c>
      <c r="B8" s="15" t="s">
        <v>172</v>
      </c>
    </row>
    <row r="9" spans="1:2" ht="14.25" customHeight="1" x14ac:dyDescent="0.3">
      <c r="A9" s="1">
        <v>6</v>
      </c>
      <c r="B9" s="15" t="s">
        <v>173</v>
      </c>
    </row>
    <row r="10" spans="1:2" ht="14.25" customHeight="1" x14ac:dyDescent="0.3">
      <c r="A10" s="1">
        <v>7</v>
      </c>
      <c r="B10" s="15" t="s">
        <v>174</v>
      </c>
    </row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/>
  </sheetViews>
  <sheetFormatPr defaultColWidth="14.44140625" defaultRowHeight="15" customHeight="1" x14ac:dyDescent="0.3"/>
  <cols>
    <col min="1" max="1" width="4.33203125" customWidth="1"/>
    <col min="2" max="2" width="32.44140625" customWidth="1"/>
    <col min="3" max="4" width="4.6640625" customWidth="1"/>
    <col min="5" max="5" width="10.6640625" customWidth="1"/>
    <col min="6" max="6" width="8.6640625" customWidth="1"/>
    <col min="7" max="7" width="15.5546875" customWidth="1"/>
    <col min="8" max="8" width="31" customWidth="1"/>
    <col min="9" max="10" width="4.6640625" customWidth="1"/>
    <col min="11" max="11" width="10.6640625" customWidth="1"/>
    <col min="12" max="13" width="4.6640625" customWidth="1"/>
    <col min="14" max="14" width="10.6640625" customWidth="1"/>
    <col min="15" max="16" width="4.6640625" customWidth="1"/>
    <col min="17" max="17" width="10.6640625" customWidth="1"/>
    <col min="18" max="19" width="4.6640625" customWidth="1"/>
    <col min="20" max="20" width="10.6640625" customWidth="1"/>
    <col min="21" max="26" width="9" customWidth="1"/>
  </cols>
  <sheetData>
    <row r="1" spans="1:26" ht="27" customHeight="1" x14ac:dyDescent="0.3">
      <c r="A1" s="5"/>
      <c r="E1" s="28"/>
      <c r="H1" s="11" t="s">
        <v>175</v>
      </c>
      <c r="K1" s="28"/>
      <c r="N1" s="28"/>
    </row>
    <row r="2" spans="1:26" ht="14.25" customHeight="1" x14ac:dyDescent="0.3">
      <c r="A2" s="241" t="s">
        <v>0</v>
      </c>
      <c r="B2" s="219"/>
      <c r="C2" s="219"/>
      <c r="D2" s="219"/>
      <c r="E2" s="219"/>
      <c r="F2" s="219"/>
      <c r="G2" s="219"/>
      <c r="H2" s="21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6" ht="14.25" customHeight="1" x14ac:dyDescent="0.3">
      <c r="A3" s="242" t="s">
        <v>1</v>
      </c>
      <c r="B3" s="219"/>
      <c r="C3" s="219"/>
      <c r="D3" s="219"/>
      <c r="E3" s="219"/>
      <c r="F3" s="219"/>
      <c r="G3" s="219"/>
      <c r="H3" s="2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6" ht="14.25" customHeight="1" x14ac:dyDescent="0.3">
      <c r="A4" s="242" t="s">
        <v>176</v>
      </c>
      <c r="B4" s="219"/>
      <c r="C4" s="219"/>
      <c r="D4" s="219"/>
      <c r="E4" s="219"/>
      <c r="F4" s="219"/>
      <c r="G4" s="219"/>
      <c r="H4" s="2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6" ht="14.2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 ht="14.25" customHeight="1" x14ac:dyDescent="0.3">
      <c r="A6" s="4" t="s">
        <v>177</v>
      </c>
      <c r="B6" s="4"/>
      <c r="C6" s="4"/>
      <c r="D6" s="4"/>
      <c r="E6" s="4"/>
      <c r="F6" s="4"/>
      <c r="G6" s="24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6" ht="14.25" customHeight="1" x14ac:dyDescent="0.3">
      <c r="A7" s="5"/>
      <c r="E7" s="28"/>
      <c r="G7" s="219"/>
      <c r="H7" s="244" t="s">
        <v>28</v>
      </c>
      <c r="K7" s="28"/>
      <c r="N7" s="28"/>
    </row>
    <row r="8" spans="1:26" ht="14.25" customHeight="1" x14ac:dyDescent="0.3">
      <c r="A8" s="5"/>
      <c r="E8" s="28"/>
      <c r="G8" s="219"/>
      <c r="H8" s="219"/>
      <c r="K8" s="28"/>
      <c r="N8" s="28"/>
    </row>
    <row r="9" spans="1:26" ht="28.5" customHeight="1" x14ac:dyDescent="0.3">
      <c r="A9" s="10">
        <v>1</v>
      </c>
      <c r="B9" s="14" t="s">
        <v>178</v>
      </c>
      <c r="C9" s="34" t="s">
        <v>33</v>
      </c>
      <c r="D9" s="34" t="s">
        <v>179</v>
      </c>
      <c r="E9" s="32"/>
      <c r="F9" s="34"/>
      <c r="G9" s="34" t="s">
        <v>180</v>
      </c>
      <c r="H9" s="33" t="s">
        <v>181</v>
      </c>
      <c r="I9" s="34"/>
      <c r="J9" s="34"/>
      <c r="K9" s="32"/>
      <c r="L9" s="34"/>
      <c r="M9" s="34"/>
      <c r="N9" s="32"/>
      <c r="O9" s="34"/>
      <c r="P9" s="34"/>
      <c r="Q9" s="10"/>
      <c r="R9" s="10"/>
      <c r="S9" s="10"/>
      <c r="T9" s="10"/>
      <c r="U9" s="34"/>
      <c r="V9" s="34"/>
      <c r="W9" s="34"/>
      <c r="X9" s="34"/>
      <c r="Y9" s="34"/>
      <c r="Z9" s="34"/>
    </row>
    <row r="10" spans="1:26" ht="28.5" customHeight="1" x14ac:dyDescent="0.3">
      <c r="A10" s="10">
        <v>2</v>
      </c>
      <c r="B10" s="14" t="s">
        <v>182</v>
      </c>
      <c r="C10" s="34" t="s">
        <v>33</v>
      </c>
      <c r="D10" s="34" t="s">
        <v>179</v>
      </c>
      <c r="E10" s="32"/>
      <c r="F10" s="34"/>
      <c r="G10" s="34" t="s">
        <v>180</v>
      </c>
      <c r="H10" s="33" t="s">
        <v>181</v>
      </c>
      <c r="I10" s="34"/>
      <c r="J10" s="34"/>
      <c r="K10" s="32"/>
      <c r="L10" s="34"/>
      <c r="M10" s="34"/>
      <c r="N10" s="32"/>
      <c r="O10" s="34"/>
      <c r="P10" s="34"/>
      <c r="Q10" s="10"/>
      <c r="R10" s="10"/>
      <c r="S10" s="10"/>
      <c r="T10" s="10"/>
      <c r="U10" s="34"/>
      <c r="V10" s="34"/>
      <c r="W10" s="34"/>
      <c r="X10" s="34"/>
      <c r="Y10" s="34"/>
      <c r="Z10" s="34"/>
    </row>
    <row r="11" spans="1:26" ht="28.5" customHeight="1" x14ac:dyDescent="0.3">
      <c r="A11" s="10">
        <v>3</v>
      </c>
      <c r="B11" s="14" t="s">
        <v>183</v>
      </c>
      <c r="C11" s="34" t="s">
        <v>33</v>
      </c>
      <c r="D11" s="34" t="s">
        <v>179</v>
      </c>
      <c r="E11" s="32"/>
      <c r="F11" s="34"/>
      <c r="G11" s="34" t="s">
        <v>180</v>
      </c>
      <c r="H11" s="33" t="s">
        <v>181</v>
      </c>
      <c r="I11" s="34"/>
      <c r="J11" s="34"/>
      <c r="K11" s="32"/>
      <c r="L11" s="34"/>
      <c r="M11" s="34"/>
      <c r="N11" s="32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8.5" customHeight="1" x14ac:dyDescent="0.3">
      <c r="A12" s="10">
        <v>4</v>
      </c>
      <c r="B12" s="14" t="s">
        <v>184</v>
      </c>
      <c r="C12" s="34" t="s">
        <v>33</v>
      </c>
      <c r="D12" s="34" t="s">
        <v>179</v>
      </c>
      <c r="E12" s="32"/>
      <c r="F12" s="34"/>
      <c r="G12" s="34" t="s">
        <v>180</v>
      </c>
      <c r="H12" s="33" t="s">
        <v>181</v>
      </c>
      <c r="I12" s="34"/>
      <c r="J12" s="34"/>
      <c r="K12" s="32"/>
      <c r="L12" s="34"/>
      <c r="M12" s="34"/>
      <c r="N12" s="32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8.5" customHeight="1" x14ac:dyDescent="0.3">
      <c r="A13" s="10">
        <v>5</v>
      </c>
      <c r="B13" s="14" t="s">
        <v>185</v>
      </c>
      <c r="C13" s="34" t="s">
        <v>33</v>
      </c>
      <c r="D13" s="34" t="s">
        <v>179</v>
      </c>
      <c r="E13" s="32"/>
      <c r="F13" s="34"/>
      <c r="G13" s="34" t="s">
        <v>180</v>
      </c>
      <c r="H13" s="33" t="s">
        <v>181</v>
      </c>
      <c r="I13" s="34"/>
      <c r="J13" s="34"/>
      <c r="K13" s="32"/>
      <c r="L13" s="34"/>
      <c r="M13" s="34"/>
      <c r="N13" s="32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8.5" customHeight="1" x14ac:dyDescent="0.3">
      <c r="A14" s="10">
        <v>6</v>
      </c>
      <c r="B14" s="14" t="s">
        <v>186</v>
      </c>
      <c r="C14" s="34" t="s">
        <v>33</v>
      </c>
      <c r="D14" s="34" t="s">
        <v>179</v>
      </c>
      <c r="E14" s="32"/>
      <c r="F14" s="34"/>
      <c r="G14" s="34" t="s">
        <v>180</v>
      </c>
      <c r="H14" s="33" t="s">
        <v>181</v>
      </c>
      <c r="I14" s="34"/>
      <c r="J14" s="34"/>
      <c r="K14" s="32"/>
      <c r="L14" s="34"/>
      <c r="M14" s="34"/>
      <c r="N14" s="32"/>
      <c r="O14" s="34"/>
      <c r="P14" s="34"/>
      <c r="Q14" s="10"/>
      <c r="R14" s="10"/>
      <c r="S14" s="10"/>
      <c r="T14" s="10"/>
      <c r="U14" s="34"/>
      <c r="V14" s="34"/>
      <c r="W14" s="34"/>
      <c r="X14" s="34"/>
      <c r="Y14" s="34"/>
      <c r="Z14" s="34"/>
    </row>
    <row r="15" spans="1:26" ht="14.25" customHeight="1" x14ac:dyDescent="0.3">
      <c r="A15" s="5"/>
      <c r="E15" s="28"/>
      <c r="H15" s="28"/>
      <c r="K15" s="28"/>
      <c r="N15" s="28"/>
      <c r="Q15" s="13"/>
      <c r="R15" s="13"/>
      <c r="S15" s="13"/>
      <c r="T15" s="13"/>
    </row>
    <row r="16" spans="1:26" ht="14.25" customHeight="1" x14ac:dyDescent="0.3">
      <c r="A16" s="5"/>
      <c r="B16" s="14"/>
      <c r="E16" s="240" t="s">
        <v>187</v>
      </c>
      <c r="F16" s="219"/>
      <c r="G16" s="219"/>
      <c r="H16" s="219"/>
      <c r="K16" s="28"/>
      <c r="N16" s="28"/>
    </row>
    <row r="17" spans="1:14" ht="14.25" customHeight="1" x14ac:dyDescent="0.3">
      <c r="A17" s="5"/>
      <c r="B17" s="10" t="s">
        <v>90</v>
      </c>
      <c r="E17" s="13"/>
      <c r="F17" s="13"/>
      <c r="G17" s="13"/>
      <c r="H17" s="13"/>
      <c r="K17" s="28"/>
      <c r="N17" s="28"/>
    </row>
    <row r="18" spans="1:14" ht="14.25" customHeight="1" x14ac:dyDescent="0.3">
      <c r="A18" s="88"/>
      <c r="B18" s="17" t="s">
        <v>91</v>
      </c>
      <c r="E18" s="244" t="s">
        <v>162</v>
      </c>
      <c r="F18" s="219"/>
      <c r="G18" s="219"/>
      <c r="H18" s="219"/>
      <c r="K18" s="28"/>
      <c r="N18" s="28"/>
    </row>
    <row r="19" spans="1:14" ht="14.25" customHeight="1" x14ac:dyDescent="0.3">
      <c r="A19" s="5"/>
      <c r="B19" s="17" t="s">
        <v>6</v>
      </c>
      <c r="K19" s="28"/>
      <c r="N19" s="28"/>
    </row>
    <row r="20" spans="1:14" ht="14.25" customHeight="1" x14ac:dyDescent="0.3">
      <c r="A20" s="5"/>
      <c r="K20" s="28"/>
      <c r="N20" s="28"/>
    </row>
    <row r="21" spans="1:14" ht="14.25" customHeight="1" x14ac:dyDescent="0.3">
      <c r="A21" s="5"/>
      <c r="B21" s="14"/>
      <c r="K21" s="28"/>
      <c r="N21" s="28"/>
    </row>
    <row r="22" spans="1:14" ht="14.25" customHeight="1" x14ac:dyDescent="0.3">
      <c r="A22" s="5"/>
      <c r="B22" s="14"/>
      <c r="K22" s="28"/>
      <c r="N22" s="28"/>
    </row>
    <row r="23" spans="1:14" ht="14.25" customHeight="1" x14ac:dyDescent="0.3">
      <c r="A23" s="5"/>
      <c r="B23" s="14" t="s">
        <v>92</v>
      </c>
      <c r="E23" s="239" t="s">
        <v>92</v>
      </c>
      <c r="F23" s="219"/>
      <c r="G23" s="219"/>
      <c r="H23" s="219"/>
      <c r="K23" s="28"/>
      <c r="N23" s="28"/>
    </row>
    <row r="24" spans="1:14" ht="14.25" customHeight="1" x14ac:dyDescent="0.3">
      <c r="A24" s="5"/>
      <c r="E24" s="240" t="s">
        <v>93</v>
      </c>
      <c r="F24" s="219"/>
      <c r="G24" s="219"/>
      <c r="H24" s="219"/>
      <c r="K24" s="28"/>
      <c r="N24" s="28"/>
    </row>
    <row r="25" spans="1:14" ht="14.25" customHeight="1" x14ac:dyDescent="0.3">
      <c r="A25" s="5"/>
      <c r="E25" s="240"/>
      <c r="F25" s="219"/>
      <c r="G25" s="219"/>
      <c r="H25" s="219"/>
      <c r="K25" s="28"/>
      <c r="N25" s="28"/>
    </row>
    <row r="26" spans="1:14" ht="14.25" customHeight="1" x14ac:dyDescent="0.3">
      <c r="A26" s="5"/>
      <c r="E26" s="28"/>
      <c r="H26" s="28"/>
      <c r="K26" s="28"/>
      <c r="N26" s="28"/>
    </row>
    <row r="27" spans="1:14" ht="14.25" customHeight="1" x14ac:dyDescent="0.3">
      <c r="A27" s="5"/>
      <c r="E27" s="28"/>
      <c r="H27" s="28"/>
      <c r="K27" s="28"/>
      <c r="N27" s="28"/>
    </row>
    <row r="28" spans="1:14" ht="14.25" customHeight="1" x14ac:dyDescent="0.3">
      <c r="A28" s="5"/>
      <c r="E28" s="28"/>
      <c r="H28" s="28"/>
      <c r="K28" s="28"/>
      <c r="N28" s="28"/>
    </row>
    <row r="29" spans="1:14" ht="14.25" customHeight="1" x14ac:dyDescent="0.3">
      <c r="A29" s="5"/>
      <c r="E29" s="28"/>
      <c r="H29" s="28"/>
      <c r="K29" s="28"/>
      <c r="N29" s="28"/>
    </row>
    <row r="30" spans="1:14" ht="14.25" customHeight="1" x14ac:dyDescent="0.3">
      <c r="A30" s="5"/>
      <c r="E30" s="28"/>
      <c r="H30" s="28"/>
      <c r="K30" s="28"/>
      <c r="N30" s="28"/>
    </row>
    <row r="31" spans="1:14" ht="14.25" customHeight="1" x14ac:dyDescent="0.3">
      <c r="A31" s="5"/>
      <c r="E31" s="28"/>
      <c r="H31" s="28"/>
      <c r="K31" s="28"/>
      <c r="N31" s="28"/>
    </row>
    <row r="32" spans="1:14" ht="14.25" customHeight="1" x14ac:dyDescent="0.3">
      <c r="A32" s="5"/>
      <c r="E32" s="28"/>
      <c r="H32" s="28"/>
      <c r="K32" s="28"/>
      <c r="N32" s="28"/>
    </row>
    <row r="33" spans="1:14" ht="14.25" customHeight="1" x14ac:dyDescent="0.3">
      <c r="A33" s="5"/>
      <c r="E33" s="28"/>
      <c r="H33" s="28"/>
      <c r="K33" s="28"/>
      <c r="N33" s="28"/>
    </row>
    <row r="34" spans="1:14" ht="14.25" customHeight="1" x14ac:dyDescent="0.3">
      <c r="A34" s="5"/>
      <c r="E34" s="28"/>
      <c r="H34" s="28"/>
      <c r="K34" s="28"/>
      <c r="N34" s="28"/>
    </row>
    <row r="35" spans="1:14" ht="14.25" customHeight="1" x14ac:dyDescent="0.3">
      <c r="A35" s="5"/>
      <c r="E35" s="28"/>
      <c r="H35" s="28"/>
      <c r="K35" s="28"/>
      <c r="N35" s="28"/>
    </row>
    <row r="36" spans="1:14" ht="14.25" customHeight="1" x14ac:dyDescent="0.3">
      <c r="A36" s="5"/>
      <c r="E36" s="28"/>
      <c r="H36" s="28"/>
      <c r="K36" s="28"/>
      <c r="N36" s="28"/>
    </row>
    <row r="37" spans="1:14" ht="14.25" customHeight="1" x14ac:dyDescent="0.3">
      <c r="A37" s="5"/>
      <c r="E37" s="28"/>
      <c r="H37" s="28"/>
      <c r="K37" s="28"/>
      <c r="N37" s="28"/>
    </row>
    <row r="38" spans="1:14" ht="14.25" customHeight="1" x14ac:dyDescent="0.3">
      <c r="A38" s="5"/>
      <c r="E38" s="28"/>
      <c r="H38" s="28"/>
      <c r="K38" s="28"/>
      <c r="N38" s="28"/>
    </row>
    <row r="39" spans="1:14" ht="14.25" customHeight="1" x14ac:dyDescent="0.3">
      <c r="A39" s="5"/>
      <c r="E39" s="28"/>
      <c r="H39" s="28"/>
      <c r="K39" s="28"/>
      <c r="N39" s="28"/>
    </row>
    <row r="40" spans="1:14" ht="14.25" customHeight="1" x14ac:dyDescent="0.3">
      <c r="A40" s="5"/>
      <c r="E40" s="28"/>
      <c r="H40" s="28"/>
      <c r="K40" s="28"/>
      <c r="N40" s="28"/>
    </row>
    <row r="41" spans="1:14" ht="14.25" customHeight="1" x14ac:dyDescent="0.3">
      <c r="A41" s="5"/>
      <c r="E41" s="28"/>
      <c r="H41" s="28"/>
      <c r="K41" s="28"/>
      <c r="N41" s="28"/>
    </row>
    <row r="42" spans="1:14" ht="14.25" customHeight="1" x14ac:dyDescent="0.3">
      <c r="A42" s="5"/>
      <c r="E42" s="28"/>
      <c r="H42" s="28"/>
      <c r="K42" s="28"/>
      <c r="N42" s="28"/>
    </row>
    <row r="43" spans="1:14" ht="14.25" customHeight="1" x14ac:dyDescent="0.3">
      <c r="A43" s="5"/>
      <c r="E43" s="28"/>
      <c r="H43" s="28"/>
      <c r="K43" s="28"/>
      <c r="N43" s="28"/>
    </row>
    <row r="44" spans="1:14" ht="14.25" customHeight="1" x14ac:dyDescent="0.3">
      <c r="A44" s="5"/>
      <c r="E44" s="28"/>
      <c r="H44" s="28"/>
      <c r="K44" s="28"/>
      <c r="N44" s="28"/>
    </row>
    <row r="45" spans="1:14" ht="14.25" customHeight="1" x14ac:dyDescent="0.3">
      <c r="A45" s="5"/>
      <c r="E45" s="28"/>
      <c r="H45" s="28"/>
      <c r="K45" s="28"/>
      <c r="N45" s="28"/>
    </row>
    <row r="46" spans="1:14" ht="14.25" customHeight="1" x14ac:dyDescent="0.3">
      <c r="A46" s="5"/>
      <c r="E46" s="28"/>
      <c r="H46" s="28"/>
      <c r="K46" s="28"/>
      <c r="N46" s="28"/>
    </row>
    <row r="47" spans="1:14" ht="14.25" customHeight="1" x14ac:dyDescent="0.3">
      <c r="A47" s="5"/>
      <c r="E47" s="28"/>
      <c r="H47" s="28"/>
      <c r="K47" s="28"/>
      <c r="N47" s="28"/>
    </row>
    <row r="48" spans="1:14" ht="14.25" customHeight="1" x14ac:dyDescent="0.3">
      <c r="A48" s="5"/>
      <c r="E48" s="28"/>
      <c r="H48" s="28"/>
      <c r="K48" s="28"/>
      <c r="N48" s="28"/>
    </row>
    <row r="49" spans="1:14" ht="14.25" customHeight="1" x14ac:dyDescent="0.3">
      <c r="A49" s="5"/>
      <c r="E49" s="28"/>
      <c r="H49" s="28"/>
      <c r="K49" s="28"/>
      <c r="N49" s="28"/>
    </row>
    <row r="50" spans="1:14" ht="14.25" customHeight="1" x14ac:dyDescent="0.3">
      <c r="A50" s="5"/>
      <c r="E50" s="28"/>
      <c r="H50" s="28"/>
      <c r="K50" s="28"/>
      <c r="N50" s="28"/>
    </row>
    <row r="51" spans="1:14" ht="14.25" customHeight="1" x14ac:dyDescent="0.3">
      <c r="A51" s="5"/>
      <c r="E51" s="28"/>
      <c r="H51" s="28"/>
      <c r="K51" s="28"/>
      <c r="N51" s="28"/>
    </row>
    <row r="52" spans="1:14" ht="14.25" customHeight="1" x14ac:dyDescent="0.3">
      <c r="A52" s="5"/>
      <c r="E52" s="28"/>
      <c r="H52" s="28"/>
      <c r="K52" s="28"/>
      <c r="N52" s="28"/>
    </row>
    <row r="53" spans="1:14" ht="14.25" customHeight="1" x14ac:dyDescent="0.3">
      <c r="A53" s="5"/>
      <c r="E53" s="28"/>
      <c r="H53" s="28"/>
      <c r="K53" s="28"/>
      <c r="N53" s="28"/>
    </row>
    <row r="54" spans="1:14" ht="14.25" customHeight="1" x14ac:dyDescent="0.3">
      <c r="A54" s="5"/>
      <c r="E54" s="28"/>
      <c r="H54" s="28"/>
      <c r="K54" s="28"/>
      <c r="N54" s="28"/>
    </row>
    <row r="55" spans="1:14" ht="14.25" customHeight="1" x14ac:dyDescent="0.3">
      <c r="A55" s="5"/>
      <c r="E55" s="28"/>
      <c r="H55" s="28"/>
      <c r="K55" s="28"/>
      <c r="N55" s="28"/>
    </row>
    <row r="56" spans="1:14" ht="14.25" customHeight="1" x14ac:dyDescent="0.3">
      <c r="A56" s="5"/>
      <c r="E56" s="28"/>
      <c r="H56" s="28"/>
      <c r="K56" s="28"/>
      <c r="N56" s="28"/>
    </row>
    <row r="57" spans="1:14" ht="14.25" customHeight="1" x14ac:dyDescent="0.3">
      <c r="A57" s="5"/>
      <c r="E57" s="28"/>
      <c r="H57" s="28"/>
      <c r="K57" s="28"/>
      <c r="N57" s="28"/>
    </row>
    <row r="58" spans="1:14" ht="14.25" customHeight="1" x14ac:dyDescent="0.3">
      <c r="A58" s="5"/>
      <c r="E58" s="28"/>
      <c r="H58" s="28"/>
      <c r="K58" s="28"/>
      <c r="N58" s="28"/>
    </row>
    <row r="59" spans="1:14" ht="14.25" customHeight="1" x14ac:dyDescent="0.3">
      <c r="A59" s="5"/>
      <c r="E59" s="28"/>
      <c r="H59" s="28"/>
      <c r="K59" s="28"/>
      <c r="N59" s="28"/>
    </row>
    <row r="60" spans="1:14" ht="14.25" customHeight="1" x14ac:dyDescent="0.3">
      <c r="A60" s="5"/>
      <c r="E60" s="28"/>
      <c r="H60" s="28"/>
      <c r="K60" s="28"/>
      <c r="N60" s="28"/>
    </row>
    <row r="61" spans="1:14" ht="14.25" customHeight="1" x14ac:dyDescent="0.3">
      <c r="A61" s="5"/>
      <c r="E61" s="28"/>
      <c r="H61" s="28"/>
      <c r="K61" s="28"/>
      <c r="N61" s="28"/>
    </row>
    <row r="62" spans="1:14" ht="14.25" customHeight="1" x14ac:dyDescent="0.3">
      <c r="A62" s="5"/>
      <c r="E62" s="28"/>
      <c r="H62" s="28"/>
      <c r="K62" s="28"/>
      <c r="N62" s="28"/>
    </row>
    <row r="63" spans="1:14" ht="14.25" customHeight="1" x14ac:dyDescent="0.3">
      <c r="A63" s="5"/>
      <c r="E63" s="28"/>
      <c r="H63" s="28"/>
      <c r="K63" s="28"/>
      <c r="N63" s="28"/>
    </row>
    <row r="64" spans="1:14" ht="14.25" customHeight="1" x14ac:dyDescent="0.3">
      <c r="A64" s="5"/>
      <c r="E64" s="28"/>
      <c r="H64" s="28"/>
      <c r="K64" s="28"/>
      <c r="N64" s="28"/>
    </row>
    <row r="65" spans="1:14" ht="14.25" customHeight="1" x14ac:dyDescent="0.3">
      <c r="A65" s="5"/>
      <c r="E65" s="28"/>
      <c r="H65" s="28"/>
      <c r="K65" s="28"/>
      <c r="N65" s="28"/>
    </row>
    <row r="66" spans="1:14" ht="14.25" customHeight="1" x14ac:dyDescent="0.3">
      <c r="A66" s="5"/>
      <c r="E66" s="28"/>
      <c r="H66" s="28"/>
      <c r="K66" s="28"/>
      <c r="N66" s="28"/>
    </row>
    <row r="67" spans="1:14" ht="14.25" customHeight="1" x14ac:dyDescent="0.3">
      <c r="A67" s="5"/>
      <c r="E67" s="28"/>
      <c r="H67" s="28"/>
      <c r="K67" s="28"/>
      <c r="N67" s="28"/>
    </row>
    <row r="68" spans="1:14" ht="14.25" customHeight="1" x14ac:dyDescent="0.3">
      <c r="A68" s="5"/>
      <c r="E68" s="28"/>
      <c r="H68" s="28"/>
      <c r="K68" s="28"/>
      <c r="N68" s="28"/>
    </row>
    <row r="69" spans="1:14" ht="14.25" customHeight="1" x14ac:dyDescent="0.3">
      <c r="A69" s="5"/>
      <c r="E69" s="28"/>
      <c r="H69" s="28"/>
      <c r="K69" s="28"/>
      <c r="N69" s="28"/>
    </row>
    <row r="70" spans="1:14" ht="14.25" customHeight="1" x14ac:dyDescent="0.3">
      <c r="A70" s="5"/>
      <c r="E70" s="28"/>
      <c r="H70" s="28"/>
      <c r="K70" s="28"/>
      <c r="N70" s="28"/>
    </row>
    <row r="71" spans="1:14" ht="14.25" customHeight="1" x14ac:dyDescent="0.3">
      <c r="A71" s="5"/>
      <c r="E71" s="28"/>
      <c r="H71" s="28"/>
      <c r="K71" s="28"/>
      <c r="N71" s="28"/>
    </row>
    <row r="72" spans="1:14" ht="14.25" customHeight="1" x14ac:dyDescent="0.3">
      <c r="A72" s="5"/>
      <c r="E72" s="28"/>
      <c r="H72" s="28"/>
      <c r="K72" s="28"/>
      <c r="N72" s="28"/>
    </row>
    <row r="73" spans="1:14" ht="14.25" customHeight="1" x14ac:dyDescent="0.3">
      <c r="A73" s="5"/>
      <c r="E73" s="28"/>
      <c r="H73" s="28"/>
      <c r="K73" s="28"/>
      <c r="N73" s="28"/>
    </row>
    <row r="74" spans="1:14" ht="14.25" customHeight="1" x14ac:dyDescent="0.3">
      <c r="A74" s="5"/>
      <c r="E74" s="28"/>
      <c r="H74" s="28"/>
      <c r="K74" s="28"/>
      <c r="N74" s="28"/>
    </row>
    <row r="75" spans="1:14" ht="14.25" customHeight="1" x14ac:dyDescent="0.3">
      <c r="A75" s="5"/>
      <c r="E75" s="28"/>
      <c r="H75" s="28"/>
      <c r="K75" s="28"/>
      <c r="N75" s="28"/>
    </row>
    <row r="76" spans="1:14" ht="14.25" customHeight="1" x14ac:dyDescent="0.3">
      <c r="A76" s="5"/>
      <c r="E76" s="28"/>
      <c r="H76" s="28"/>
      <c r="K76" s="28"/>
      <c r="N76" s="28"/>
    </row>
    <row r="77" spans="1:14" ht="14.25" customHeight="1" x14ac:dyDescent="0.3">
      <c r="A77" s="5"/>
      <c r="E77" s="28"/>
      <c r="H77" s="28"/>
      <c r="K77" s="28"/>
      <c r="N77" s="28"/>
    </row>
    <row r="78" spans="1:14" ht="14.25" customHeight="1" x14ac:dyDescent="0.3">
      <c r="A78" s="5"/>
      <c r="E78" s="28"/>
      <c r="H78" s="28"/>
      <c r="K78" s="28"/>
      <c r="N78" s="28"/>
    </row>
    <row r="79" spans="1:14" ht="14.25" customHeight="1" x14ac:dyDescent="0.3">
      <c r="A79" s="5"/>
      <c r="E79" s="28"/>
      <c r="H79" s="28"/>
      <c r="K79" s="28"/>
      <c r="N79" s="28"/>
    </row>
    <row r="80" spans="1:14" ht="14.25" customHeight="1" x14ac:dyDescent="0.3">
      <c r="A80" s="5"/>
      <c r="E80" s="28"/>
      <c r="H80" s="28"/>
      <c r="K80" s="28"/>
      <c r="N80" s="28"/>
    </row>
    <row r="81" spans="1:14" ht="14.25" customHeight="1" x14ac:dyDescent="0.3">
      <c r="A81" s="5"/>
      <c r="E81" s="28"/>
      <c r="H81" s="28"/>
      <c r="K81" s="28"/>
      <c r="N81" s="28"/>
    </row>
    <row r="82" spans="1:14" ht="14.25" customHeight="1" x14ac:dyDescent="0.3">
      <c r="A82" s="5"/>
      <c r="E82" s="28"/>
      <c r="H82" s="28"/>
      <c r="K82" s="28"/>
      <c r="N82" s="28"/>
    </row>
    <row r="83" spans="1:14" ht="14.25" customHeight="1" x14ac:dyDescent="0.3">
      <c r="A83" s="5"/>
      <c r="E83" s="28"/>
      <c r="H83" s="28"/>
      <c r="K83" s="28"/>
      <c r="N83" s="28"/>
    </row>
    <row r="84" spans="1:14" ht="14.25" customHeight="1" x14ac:dyDescent="0.3">
      <c r="A84" s="5"/>
      <c r="E84" s="28"/>
      <c r="H84" s="28"/>
      <c r="K84" s="28"/>
      <c r="N84" s="28"/>
    </row>
    <row r="85" spans="1:14" ht="14.25" customHeight="1" x14ac:dyDescent="0.3">
      <c r="A85" s="5"/>
      <c r="E85" s="28"/>
      <c r="H85" s="28"/>
      <c r="K85" s="28"/>
      <c r="N85" s="28"/>
    </row>
    <row r="86" spans="1:14" ht="14.25" customHeight="1" x14ac:dyDescent="0.3">
      <c r="A86" s="5"/>
      <c r="E86" s="28"/>
      <c r="H86" s="28"/>
      <c r="K86" s="28"/>
      <c r="N86" s="28"/>
    </row>
    <row r="87" spans="1:14" ht="14.25" customHeight="1" x14ac:dyDescent="0.3">
      <c r="A87" s="5"/>
      <c r="E87" s="28"/>
      <c r="H87" s="28"/>
      <c r="K87" s="28"/>
      <c r="N87" s="28"/>
    </row>
    <row r="88" spans="1:14" ht="14.25" customHeight="1" x14ac:dyDescent="0.3">
      <c r="A88" s="5"/>
      <c r="E88" s="28"/>
      <c r="H88" s="28"/>
      <c r="K88" s="28"/>
      <c r="N88" s="28"/>
    </row>
    <row r="89" spans="1:14" ht="14.25" customHeight="1" x14ac:dyDescent="0.3">
      <c r="A89" s="5"/>
      <c r="E89" s="28"/>
      <c r="H89" s="28"/>
      <c r="K89" s="28"/>
      <c r="N89" s="28"/>
    </row>
    <row r="90" spans="1:14" ht="14.25" customHeight="1" x14ac:dyDescent="0.3">
      <c r="A90" s="5"/>
      <c r="E90" s="28"/>
      <c r="H90" s="28"/>
      <c r="K90" s="28"/>
      <c r="N90" s="28"/>
    </row>
    <row r="91" spans="1:14" ht="14.25" customHeight="1" x14ac:dyDescent="0.3">
      <c r="A91" s="5"/>
      <c r="E91" s="28"/>
      <c r="H91" s="28"/>
      <c r="K91" s="28"/>
      <c r="N91" s="28"/>
    </row>
    <row r="92" spans="1:14" ht="14.25" customHeight="1" x14ac:dyDescent="0.3">
      <c r="A92" s="5"/>
      <c r="E92" s="28"/>
      <c r="H92" s="28"/>
      <c r="K92" s="28"/>
      <c r="N92" s="28"/>
    </row>
    <row r="93" spans="1:14" ht="14.25" customHeight="1" x14ac:dyDescent="0.3">
      <c r="A93" s="5"/>
      <c r="E93" s="28"/>
      <c r="H93" s="28"/>
      <c r="K93" s="28"/>
      <c r="N93" s="28"/>
    </row>
    <row r="94" spans="1:14" ht="14.25" customHeight="1" x14ac:dyDescent="0.3">
      <c r="A94" s="5"/>
      <c r="E94" s="28"/>
      <c r="H94" s="28"/>
      <c r="K94" s="28"/>
      <c r="N94" s="28"/>
    </row>
    <row r="95" spans="1:14" ht="14.25" customHeight="1" x14ac:dyDescent="0.3">
      <c r="A95" s="5"/>
      <c r="E95" s="28"/>
      <c r="H95" s="28"/>
      <c r="K95" s="28"/>
      <c r="N95" s="28"/>
    </row>
    <row r="96" spans="1:14" ht="14.25" customHeight="1" x14ac:dyDescent="0.3">
      <c r="A96" s="5"/>
      <c r="E96" s="28"/>
      <c r="H96" s="28"/>
      <c r="K96" s="28"/>
      <c r="N96" s="28"/>
    </row>
    <row r="97" spans="1:14" ht="14.25" customHeight="1" x14ac:dyDescent="0.3">
      <c r="A97" s="5"/>
      <c r="E97" s="28"/>
      <c r="H97" s="28"/>
      <c r="K97" s="28"/>
      <c r="N97" s="28"/>
    </row>
    <row r="98" spans="1:14" ht="14.25" customHeight="1" x14ac:dyDescent="0.3">
      <c r="A98" s="5"/>
      <c r="E98" s="28"/>
      <c r="H98" s="28"/>
      <c r="K98" s="28"/>
      <c r="N98" s="28"/>
    </row>
    <row r="99" spans="1:14" ht="14.25" customHeight="1" x14ac:dyDescent="0.3">
      <c r="A99" s="5"/>
      <c r="E99" s="28"/>
      <c r="H99" s="28"/>
      <c r="K99" s="28"/>
      <c r="N99" s="28"/>
    </row>
    <row r="100" spans="1:14" ht="14.25" customHeight="1" x14ac:dyDescent="0.3">
      <c r="A100" s="5"/>
      <c r="E100" s="28"/>
      <c r="H100" s="28"/>
      <c r="K100" s="28"/>
      <c r="N100" s="28"/>
    </row>
    <row r="101" spans="1:14" ht="14.25" customHeight="1" x14ac:dyDescent="0.3">
      <c r="A101" s="5"/>
      <c r="E101" s="28"/>
      <c r="H101" s="28"/>
      <c r="K101" s="28"/>
      <c r="N101" s="28"/>
    </row>
    <row r="102" spans="1:14" ht="14.25" customHeight="1" x14ac:dyDescent="0.3">
      <c r="A102" s="5"/>
      <c r="E102" s="28"/>
      <c r="H102" s="28"/>
      <c r="K102" s="28"/>
      <c r="N102" s="28"/>
    </row>
    <row r="103" spans="1:14" ht="14.25" customHeight="1" x14ac:dyDescent="0.3">
      <c r="A103" s="5"/>
      <c r="E103" s="28"/>
      <c r="H103" s="28"/>
      <c r="K103" s="28"/>
      <c r="N103" s="28"/>
    </row>
    <row r="104" spans="1:14" ht="14.25" customHeight="1" x14ac:dyDescent="0.3">
      <c r="A104" s="5"/>
      <c r="E104" s="28"/>
      <c r="H104" s="28"/>
      <c r="K104" s="28"/>
      <c r="N104" s="28"/>
    </row>
    <row r="105" spans="1:14" ht="14.25" customHeight="1" x14ac:dyDescent="0.3">
      <c r="A105" s="5"/>
      <c r="E105" s="28"/>
      <c r="H105" s="28"/>
      <c r="K105" s="28"/>
      <c r="N105" s="28"/>
    </row>
    <row r="106" spans="1:14" ht="14.25" customHeight="1" x14ac:dyDescent="0.3">
      <c r="A106" s="5"/>
      <c r="E106" s="28"/>
      <c r="H106" s="28"/>
      <c r="K106" s="28"/>
      <c r="N106" s="28"/>
    </row>
    <row r="107" spans="1:14" ht="14.25" customHeight="1" x14ac:dyDescent="0.3">
      <c r="A107" s="5"/>
      <c r="E107" s="28"/>
      <c r="H107" s="28"/>
      <c r="K107" s="28"/>
      <c r="N107" s="28"/>
    </row>
    <row r="108" spans="1:14" ht="14.25" customHeight="1" x14ac:dyDescent="0.3">
      <c r="A108" s="5"/>
      <c r="E108" s="28"/>
      <c r="H108" s="28"/>
      <c r="K108" s="28"/>
      <c r="N108" s="28"/>
    </row>
    <row r="109" spans="1:14" ht="14.25" customHeight="1" x14ac:dyDescent="0.3">
      <c r="A109" s="5"/>
      <c r="E109" s="28"/>
      <c r="H109" s="28"/>
      <c r="K109" s="28"/>
      <c r="N109" s="28"/>
    </row>
    <row r="110" spans="1:14" ht="14.25" customHeight="1" x14ac:dyDescent="0.3">
      <c r="A110" s="5"/>
      <c r="E110" s="28"/>
      <c r="H110" s="28"/>
      <c r="K110" s="28"/>
      <c r="N110" s="28"/>
    </row>
    <row r="111" spans="1:14" ht="14.25" customHeight="1" x14ac:dyDescent="0.3">
      <c r="A111" s="5"/>
      <c r="E111" s="28"/>
      <c r="H111" s="28"/>
      <c r="K111" s="28"/>
      <c r="N111" s="28"/>
    </row>
    <row r="112" spans="1:14" ht="14.25" customHeight="1" x14ac:dyDescent="0.3">
      <c r="A112" s="5"/>
      <c r="E112" s="28"/>
      <c r="H112" s="28"/>
      <c r="K112" s="28"/>
      <c r="N112" s="28"/>
    </row>
    <row r="113" spans="1:14" ht="14.25" customHeight="1" x14ac:dyDescent="0.3">
      <c r="A113" s="5"/>
      <c r="E113" s="28"/>
      <c r="H113" s="28"/>
      <c r="K113" s="28"/>
      <c r="N113" s="28"/>
    </row>
    <row r="114" spans="1:14" ht="14.25" customHeight="1" x14ac:dyDescent="0.3">
      <c r="A114" s="5"/>
      <c r="E114" s="28"/>
      <c r="H114" s="28"/>
      <c r="K114" s="28"/>
      <c r="N114" s="28"/>
    </row>
    <row r="115" spans="1:14" ht="14.25" customHeight="1" x14ac:dyDescent="0.3">
      <c r="A115" s="5"/>
      <c r="E115" s="28"/>
      <c r="H115" s="28"/>
      <c r="K115" s="28"/>
      <c r="N115" s="28"/>
    </row>
    <row r="116" spans="1:14" ht="14.25" customHeight="1" x14ac:dyDescent="0.3">
      <c r="A116" s="5"/>
      <c r="E116" s="28"/>
      <c r="H116" s="28"/>
      <c r="K116" s="28"/>
      <c r="N116" s="28"/>
    </row>
    <row r="117" spans="1:14" ht="14.25" customHeight="1" x14ac:dyDescent="0.3">
      <c r="A117" s="5"/>
      <c r="E117" s="28"/>
      <c r="H117" s="28"/>
      <c r="K117" s="28"/>
      <c r="N117" s="28"/>
    </row>
    <row r="118" spans="1:14" ht="14.25" customHeight="1" x14ac:dyDescent="0.3">
      <c r="A118" s="5"/>
      <c r="E118" s="28"/>
      <c r="H118" s="28"/>
      <c r="K118" s="28"/>
      <c r="N118" s="28"/>
    </row>
    <row r="119" spans="1:14" ht="14.25" customHeight="1" x14ac:dyDescent="0.3">
      <c r="A119" s="5"/>
      <c r="E119" s="28"/>
      <c r="H119" s="28"/>
      <c r="K119" s="28"/>
      <c r="N119" s="28"/>
    </row>
    <row r="120" spans="1:14" ht="14.25" customHeight="1" x14ac:dyDescent="0.3">
      <c r="A120" s="5"/>
      <c r="E120" s="28"/>
      <c r="H120" s="28"/>
      <c r="K120" s="28"/>
      <c r="N120" s="28"/>
    </row>
    <row r="121" spans="1:14" ht="14.25" customHeight="1" x14ac:dyDescent="0.3">
      <c r="A121" s="5"/>
      <c r="E121" s="28"/>
      <c r="H121" s="28"/>
      <c r="K121" s="28"/>
      <c r="N121" s="28"/>
    </row>
    <row r="122" spans="1:14" ht="14.25" customHeight="1" x14ac:dyDescent="0.3">
      <c r="A122" s="5"/>
      <c r="E122" s="28"/>
      <c r="H122" s="28"/>
      <c r="K122" s="28"/>
      <c r="N122" s="28"/>
    </row>
    <row r="123" spans="1:14" ht="14.25" customHeight="1" x14ac:dyDescent="0.3">
      <c r="A123" s="5"/>
      <c r="E123" s="28"/>
      <c r="H123" s="28"/>
      <c r="K123" s="28"/>
      <c r="N123" s="28"/>
    </row>
    <row r="124" spans="1:14" ht="14.25" customHeight="1" x14ac:dyDescent="0.3">
      <c r="A124" s="5"/>
      <c r="E124" s="28"/>
      <c r="H124" s="28"/>
      <c r="K124" s="28"/>
      <c r="N124" s="28"/>
    </row>
    <row r="125" spans="1:14" ht="14.25" customHeight="1" x14ac:dyDescent="0.3">
      <c r="A125" s="5"/>
      <c r="E125" s="28"/>
      <c r="H125" s="28"/>
      <c r="K125" s="28"/>
      <c r="N125" s="28"/>
    </row>
    <row r="126" spans="1:14" ht="14.25" customHeight="1" x14ac:dyDescent="0.3">
      <c r="A126" s="5"/>
      <c r="E126" s="28"/>
      <c r="H126" s="28"/>
      <c r="K126" s="28"/>
      <c r="N126" s="28"/>
    </row>
    <row r="127" spans="1:14" ht="14.25" customHeight="1" x14ac:dyDescent="0.3">
      <c r="A127" s="5"/>
      <c r="E127" s="28"/>
      <c r="H127" s="28"/>
      <c r="K127" s="28"/>
      <c r="N127" s="28"/>
    </row>
    <row r="128" spans="1:14" ht="14.25" customHeight="1" x14ac:dyDescent="0.3">
      <c r="A128" s="5"/>
      <c r="E128" s="28"/>
      <c r="H128" s="28"/>
      <c r="K128" s="28"/>
      <c r="N128" s="28"/>
    </row>
    <row r="129" spans="1:14" ht="14.25" customHeight="1" x14ac:dyDescent="0.3">
      <c r="A129" s="5"/>
      <c r="E129" s="28"/>
      <c r="H129" s="28"/>
      <c r="K129" s="28"/>
      <c r="N129" s="28"/>
    </row>
    <row r="130" spans="1:14" ht="14.25" customHeight="1" x14ac:dyDescent="0.3">
      <c r="A130" s="5"/>
      <c r="E130" s="28"/>
      <c r="H130" s="28"/>
      <c r="K130" s="28"/>
      <c r="N130" s="28"/>
    </row>
    <row r="131" spans="1:14" ht="14.25" customHeight="1" x14ac:dyDescent="0.3">
      <c r="A131" s="5"/>
      <c r="E131" s="28"/>
      <c r="H131" s="28"/>
      <c r="K131" s="28"/>
      <c r="N131" s="28"/>
    </row>
    <row r="132" spans="1:14" ht="14.25" customHeight="1" x14ac:dyDescent="0.3">
      <c r="A132" s="5"/>
      <c r="E132" s="28"/>
      <c r="H132" s="28"/>
      <c r="K132" s="28"/>
      <c r="N132" s="28"/>
    </row>
    <row r="133" spans="1:14" ht="14.25" customHeight="1" x14ac:dyDescent="0.3">
      <c r="A133" s="5"/>
      <c r="E133" s="28"/>
      <c r="H133" s="28"/>
      <c r="K133" s="28"/>
      <c r="N133" s="28"/>
    </row>
    <row r="134" spans="1:14" ht="14.25" customHeight="1" x14ac:dyDescent="0.3">
      <c r="A134" s="5"/>
      <c r="E134" s="28"/>
      <c r="H134" s="28"/>
      <c r="K134" s="28"/>
      <c r="N134" s="28"/>
    </row>
    <row r="135" spans="1:14" ht="14.25" customHeight="1" x14ac:dyDescent="0.3">
      <c r="A135" s="5"/>
      <c r="E135" s="28"/>
      <c r="H135" s="28"/>
      <c r="K135" s="28"/>
      <c r="N135" s="28"/>
    </row>
    <row r="136" spans="1:14" ht="14.25" customHeight="1" x14ac:dyDescent="0.3">
      <c r="A136" s="5"/>
      <c r="E136" s="28"/>
      <c r="H136" s="28"/>
      <c r="K136" s="28"/>
      <c r="N136" s="28"/>
    </row>
    <row r="137" spans="1:14" ht="14.25" customHeight="1" x14ac:dyDescent="0.3">
      <c r="A137" s="5"/>
      <c r="E137" s="28"/>
      <c r="H137" s="28"/>
      <c r="K137" s="28"/>
      <c r="N137" s="28"/>
    </row>
    <row r="138" spans="1:14" ht="14.25" customHeight="1" x14ac:dyDescent="0.3">
      <c r="A138" s="5"/>
      <c r="E138" s="28"/>
      <c r="H138" s="28"/>
      <c r="K138" s="28"/>
      <c r="N138" s="28"/>
    </row>
    <row r="139" spans="1:14" ht="14.25" customHeight="1" x14ac:dyDescent="0.3">
      <c r="A139" s="5"/>
      <c r="E139" s="28"/>
      <c r="H139" s="28"/>
      <c r="K139" s="28"/>
      <c r="N139" s="28"/>
    </row>
    <row r="140" spans="1:14" ht="14.25" customHeight="1" x14ac:dyDescent="0.3">
      <c r="A140" s="5"/>
      <c r="E140" s="28"/>
      <c r="H140" s="28"/>
      <c r="K140" s="28"/>
      <c r="N140" s="28"/>
    </row>
    <row r="141" spans="1:14" ht="14.25" customHeight="1" x14ac:dyDescent="0.3">
      <c r="A141" s="5"/>
      <c r="E141" s="28"/>
      <c r="H141" s="28"/>
      <c r="K141" s="28"/>
      <c r="N141" s="28"/>
    </row>
    <row r="142" spans="1:14" ht="14.25" customHeight="1" x14ac:dyDescent="0.3">
      <c r="A142" s="5"/>
      <c r="E142" s="28"/>
      <c r="H142" s="28"/>
      <c r="K142" s="28"/>
      <c r="N142" s="28"/>
    </row>
    <row r="143" spans="1:14" ht="14.25" customHeight="1" x14ac:dyDescent="0.3">
      <c r="A143" s="5"/>
      <c r="E143" s="28"/>
      <c r="H143" s="28"/>
      <c r="K143" s="28"/>
      <c r="N143" s="28"/>
    </row>
    <row r="144" spans="1:14" ht="14.25" customHeight="1" x14ac:dyDescent="0.3">
      <c r="A144" s="5"/>
      <c r="E144" s="28"/>
      <c r="H144" s="28"/>
      <c r="K144" s="28"/>
      <c r="N144" s="28"/>
    </row>
    <row r="145" spans="1:14" ht="14.25" customHeight="1" x14ac:dyDescent="0.3">
      <c r="A145" s="5"/>
      <c r="E145" s="28"/>
      <c r="H145" s="28"/>
      <c r="K145" s="28"/>
      <c r="N145" s="28"/>
    </row>
    <row r="146" spans="1:14" ht="14.25" customHeight="1" x14ac:dyDescent="0.3">
      <c r="A146" s="5"/>
      <c r="E146" s="28"/>
      <c r="H146" s="28"/>
      <c r="K146" s="28"/>
      <c r="N146" s="28"/>
    </row>
    <row r="147" spans="1:14" ht="14.25" customHeight="1" x14ac:dyDescent="0.3">
      <c r="A147" s="5"/>
      <c r="E147" s="28"/>
      <c r="H147" s="28"/>
      <c r="K147" s="28"/>
      <c r="N147" s="28"/>
    </row>
    <row r="148" spans="1:14" ht="14.25" customHeight="1" x14ac:dyDescent="0.3">
      <c r="A148" s="5"/>
      <c r="E148" s="28"/>
      <c r="H148" s="28"/>
      <c r="K148" s="28"/>
      <c r="N148" s="28"/>
    </row>
    <row r="149" spans="1:14" ht="14.25" customHeight="1" x14ac:dyDescent="0.3">
      <c r="A149" s="5"/>
      <c r="E149" s="28"/>
      <c r="H149" s="28"/>
      <c r="K149" s="28"/>
      <c r="N149" s="28"/>
    </row>
    <row r="150" spans="1:14" ht="14.25" customHeight="1" x14ac:dyDescent="0.3">
      <c r="A150" s="5"/>
      <c r="E150" s="28"/>
      <c r="H150" s="28"/>
      <c r="K150" s="28"/>
      <c r="N150" s="28"/>
    </row>
    <row r="151" spans="1:14" ht="14.25" customHeight="1" x14ac:dyDescent="0.3">
      <c r="A151" s="5"/>
      <c r="E151" s="28"/>
      <c r="H151" s="28"/>
      <c r="K151" s="28"/>
      <c r="N151" s="28"/>
    </row>
    <row r="152" spans="1:14" ht="14.25" customHeight="1" x14ac:dyDescent="0.3">
      <c r="A152" s="5"/>
      <c r="E152" s="28"/>
      <c r="H152" s="28"/>
      <c r="K152" s="28"/>
      <c r="N152" s="28"/>
    </row>
    <row r="153" spans="1:14" ht="14.25" customHeight="1" x14ac:dyDescent="0.3">
      <c r="A153" s="5"/>
      <c r="E153" s="28"/>
      <c r="H153" s="28"/>
      <c r="K153" s="28"/>
      <c r="N153" s="28"/>
    </row>
    <row r="154" spans="1:14" ht="14.25" customHeight="1" x14ac:dyDescent="0.3">
      <c r="A154" s="5"/>
      <c r="E154" s="28"/>
      <c r="H154" s="28"/>
      <c r="K154" s="28"/>
      <c r="N154" s="28"/>
    </row>
    <row r="155" spans="1:14" ht="14.25" customHeight="1" x14ac:dyDescent="0.3">
      <c r="A155" s="5"/>
      <c r="E155" s="28"/>
      <c r="H155" s="28"/>
      <c r="K155" s="28"/>
      <c r="N155" s="28"/>
    </row>
    <row r="156" spans="1:14" ht="14.25" customHeight="1" x14ac:dyDescent="0.3">
      <c r="A156" s="5"/>
      <c r="E156" s="28"/>
      <c r="H156" s="28"/>
      <c r="K156" s="28"/>
      <c r="N156" s="28"/>
    </row>
    <row r="157" spans="1:14" ht="14.25" customHeight="1" x14ac:dyDescent="0.3">
      <c r="A157" s="5"/>
      <c r="E157" s="28"/>
      <c r="H157" s="28"/>
      <c r="K157" s="28"/>
      <c r="N157" s="28"/>
    </row>
    <row r="158" spans="1:14" ht="14.25" customHeight="1" x14ac:dyDescent="0.3">
      <c r="A158" s="5"/>
      <c r="E158" s="28"/>
      <c r="H158" s="28"/>
      <c r="K158" s="28"/>
      <c r="N158" s="28"/>
    </row>
    <row r="159" spans="1:14" ht="14.25" customHeight="1" x14ac:dyDescent="0.3">
      <c r="A159" s="5"/>
      <c r="E159" s="28"/>
      <c r="H159" s="28"/>
      <c r="K159" s="28"/>
      <c r="N159" s="28"/>
    </row>
    <row r="160" spans="1:14" ht="14.25" customHeight="1" x14ac:dyDescent="0.3">
      <c r="A160" s="5"/>
      <c r="E160" s="28"/>
      <c r="H160" s="28"/>
      <c r="K160" s="28"/>
      <c r="N160" s="28"/>
    </row>
    <row r="161" spans="1:14" ht="14.25" customHeight="1" x14ac:dyDescent="0.3">
      <c r="A161" s="5"/>
      <c r="E161" s="28"/>
      <c r="H161" s="28"/>
      <c r="K161" s="28"/>
      <c r="N161" s="28"/>
    </row>
    <row r="162" spans="1:14" ht="14.25" customHeight="1" x14ac:dyDescent="0.3">
      <c r="A162" s="5"/>
      <c r="E162" s="28"/>
      <c r="H162" s="28"/>
      <c r="K162" s="28"/>
      <c r="N162" s="28"/>
    </row>
    <row r="163" spans="1:14" ht="14.25" customHeight="1" x14ac:dyDescent="0.3">
      <c r="A163" s="5"/>
      <c r="E163" s="28"/>
      <c r="H163" s="28"/>
      <c r="K163" s="28"/>
      <c r="N163" s="28"/>
    </row>
    <row r="164" spans="1:14" ht="14.25" customHeight="1" x14ac:dyDescent="0.3">
      <c r="A164" s="5"/>
      <c r="E164" s="28"/>
      <c r="H164" s="28"/>
      <c r="K164" s="28"/>
      <c r="N164" s="28"/>
    </row>
    <row r="165" spans="1:14" ht="14.25" customHeight="1" x14ac:dyDescent="0.3">
      <c r="A165" s="5"/>
      <c r="E165" s="28"/>
      <c r="H165" s="28"/>
      <c r="K165" s="28"/>
      <c r="N165" s="28"/>
    </row>
    <row r="166" spans="1:14" ht="14.25" customHeight="1" x14ac:dyDescent="0.3">
      <c r="A166" s="5"/>
      <c r="E166" s="28"/>
      <c r="H166" s="28"/>
      <c r="K166" s="28"/>
      <c r="N166" s="28"/>
    </row>
    <row r="167" spans="1:14" ht="14.25" customHeight="1" x14ac:dyDescent="0.3">
      <c r="A167" s="5"/>
      <c r="E167" s="28"/>
      <c r="H167" s="28"/>
      <c r="K167" s="28"/>
      <c r="N167" s="28"/>
    </row>
    <row r="168" spans="1:14" ht="14.25" customHeight="1" x14ac:dyDescent="0.3">
      <c r="A168" s="5"/>
      <c r="E168" s="28"/>
      <c r="H168" s="28"/>
      <c r="K168" s="28"/>
      <c r="N168" s="28"/>
    </row>
    <row r="169" spans="1:14" ht="14.25" customHeight="1" x14ac:dyDescent="0.3">
      <c r="A169" s="5"/>
      <c r="E169" s="28"/>
      <c r="H169" s="28"/>
      <c r="K169" s="28"/>
      <c r="N169" s="28"/>
    </row>
    <row r="170" spans="1:14" ht="14.25" customHeight="1" x14ac:dyDescent="0.3">
      <c r="A170" s="5"/>
      <c r="E170" s="28"/>
      <c r="H170" s="28"/>
      <c r="K170" s="28"/>
      <c r="N170" s="28"/>
    </row>
    <row r="171" spans="1:14" ht="14.25" customHeight="1" x14ac:dyDescent="0.3">
      <c r="A171" s="5"/>
      <c r="E171" s="28"/>
      <c r="H171" s="28"/>
      <c r="K171" s="28"/>
      <c r="N171" s="28"/>
    </row>
    <row r="172" spans="1:14" ht="14.25" customHeight="1" x14ac:dyDescent="0.3">
      <c r="A172" s="5"/>
      <c r="E172" s="28"/>
      <c r="H172" s="28"/>
      <c r="K172" s="28"/>
      <c r="N172" s="28"/>
    </row>
    <row r="173" spans="1:14" ht="14.25" customHeight="1" x14ac:dyDescent="0.3">
      <c r="A173" s="5"/>
      <c r="E173" s="28"/>
      <c r="H173" s="28"/>
      <c r="K173" s="28"/>
      <c r="N173" s="28"/>
    </row>
    <row r="174" spans="1:14" ht="14.25" customHeight="1" x14ac:dyDescent="0.3">
      <c r="A174" s="5"/>
      <c r="E174" s="28"/>
      <c r="H174" s="28"/>
      <c r="K174" s="28"/>
      <c r="N174" s="28"/>
    </row>
    <row r="175" spans="1:14" ht="14.25" customHeight="1" x14ac:dyDescent="0.3">
      <c r="A175" s="5"/>
      <c r="E175" s="28"/>
      <c r="H175" s="28"/>
      <c r="K175" s="28"/>
      <c r="N175" s="28"/>
    </row>
    <row r="176" spans="1:14" ht="14.25" customHeight="1" x14ac:dyDescent="0.3">
      <c r="A176" s="5"/>
      <c r="E176" s="28"/>
      <c r="H176" s="28"/>
      <c r="K176" s="28"/>
      <c r="N176" s="28"/>
    </row>
    <row r="177" spans="1:14" ht="14.25" customHeight="1" x14ac:dyDescent="0.3">
      <c r="A177" s="5"/>
      <c r="E177" s="28"/>
      <c r="H177" s="28"/>
      <c r="K177" s="28"/>
      <c r="N177" s="28"/>
    </row>
    <row r="178" spans="1:14" ht="14.25" customHeight="1" x14ac:dyDescent="0.3">
      <c r="A178" s="5"/>
      <c r="E178" s="28"/>
      <c r="H178" s="28"/>
      <c r="K178" s="28"/>
      <c r="N178" s="28"/>
    </row>
    <row r="179" spans="1:14" ht="14.25" customHeight="1" x14ac:dyDescent="0.3">
      <c r="A179" s="5"/>
      <c r="E179" s="28"/>
      <c r="H179" s="28"/>
      <c r="K179" s="28"/>
      <c r="N179" s="28"/>
    </row>
    <row r="180" spans="1:14" ht="14.25" customHeight="1" x14ac:dyDescent="0.3">
      <c r="A180" s="5"/>
      <c r="E180" s="28"/>
      <c r="H180" s="28"/>
      <c r="K180" s="28"/>
      <c r="N180" s="28"/>
    </row>
    <row r="181" spans="1:14" ht="14.25" customHeight="1" x14ac:dyDescent="0.3">
      <c r="A181" s="5"/>
      <c r="E181" s="28"/>
      <c r="H181" s="28"/>
      <c r="K181" s="28"/>
      <c r="N181" s="28"/>
    </row>
    <row r="182" spans="1:14" ht="14.25" customHeight="1" x14ac:dyDescent="0.3">
      <c r="A182" s="5"/>
      <c r="E182" s="28"/>
      <c r="H182" s="28"/>
      <c r="K182" s="28"/>
      <c r="N182" s="28"/>
    </row>
    <row r="183" spans="1:14" ht="14.25" customHeight="1" x14ac:dyDescent="0.3">
      <c r="A183" s="5"/>
      <c r="E183" s="28"/>
      <c r="H183" s="28"/>
      <c r="K183" s="28"/>
      <c r="N183" s="28"/>
    </row>
    <row r="184" spans="1:14" ht="14.25" customHeight="1" x14ac:dyDescent="0.3">
      <c r="A184" s="5"/>
      <c r="E184" s="28"/>
      <c r="H184" s="28"/>
      <c r="K184" s="28"/>
      <c r="N184" s="28"/>
    </row>
    <row r="185" spans="1:14" ht="14.25" customHeight="1" x14ac:dyDescent="0.3">
      <c r="A185" s="5"/>
      <c r="E185" s="28"/>
      <c r="H185" s="28"/>
      <c r="K185" s="28"/>
      <c r="N185" s="28"/>
    </row>
    <row r="186" spans="1:14" ht="14.25" customHeight="1" x14ac:dyDescent="0.3">
      <c r="A186" s="5"/>
      <c r="E186" s="28"/>
      <c r="H186" s="28"/>
      <c r="K186" s="28"/>
      <c r="N186" s="28"/>
    </row>
    <row r="187" spans="1:14" ht="14.25" customHeight="1" x14ac:dyDescent="0.3">
      <c r="A187" s="5"/>
      <c r="E187" s="28"/>
      <c r="H187" s="28"/>
      <c r="K187" s="28"/>
      <c r="N187" s="28"/>
    </row>
    <row r="188" spans="1:14" ht="14.25" customHeight="1" x14ac:dyDescent="0.3">
      <c r="A188" s="5"/>
      <c r="E188" s="28"/>
      <c r="H188" s="28"/>
      <c r="K188" s="28"/>
      <c r="N188" s="28"/>
    </row>
    <row r="189" spans="1:14" ht="14.25" customHeight="1" x14ac:dyDescent="0.3">
      <c r="A189" s="5"/>
      <c r="E189" s="28"/>
      <c r="H189" s="28"/>
      <c r="K189" s="28"/>
      <c r="N189" s="28"/>
    </row>
    <row r="190" spans="1:14" ht="14.25" customHeight="1" x14ac:dyDescent="0.3">
      <c r="A190" s="5"/>
      <c r="E190" s="28"/>
      <c r="H190" s="28"/>
      <c r="K190" s="28"/>
      <c r="N190" s="28"/>
    </row>
    <row r="191" spans="1:14" ht="14.25" customHeight="1" x14ac:dyDescent="0.3">
      <c r="A191" s="5"/>
      <c r="E191" s="28"/>
      <c r="H191" s="28"/>
      <c r="K191" s="28"/>
      <c r="N191" s="28"/>
    </row>
    <row r="192" spans="1:14" ht="14.25" customHeight="1" x14ac:dyDescent="0.3">
      <c r="A192" s="5"/>
      <c r="E192" s="28"/>
      <c r="H192" s="28"/>
      <c r="K192" s="28"/>
      <c r="N192" s="28"/>
    </row>
    <row r="193" spans="1:14" ht="14.25" customHeight="1" x14ac:dyDescent="0.3">
      <c r="A193" s="5"/>
      <c r="E193" s="28"/>
      <c r="H193" s="28"/>
      <c r="K193" s="28"/>
      <c r="N193" s="28"/>
    </row>
    <row r="194" spans="1:14" ht="14.25" customHeight="1" x14ac:dyDescent="0.3">
      <c r="A194" s="5"/>
      <c r="E194" s="28"/>
      <c r="H194" s="28"/>
      <c r="K194" s="28"/>
      <c r="N194" s="28"/>
    </row>
    <row r="195" spans="1:14" ht="14.25" customHeight="1" x14ac:dyDescent="0.3">
      <c r="A195" s="5"/>
      <c r="E195" s="28"/>
      <c r="H195" s="28"/>
      <c r="K195" s="28"/>
      <c r="N195" s="28"/>
    </row>
    <row r="196" spans="1:14" ht="14.25" customHeight="1" x14ac:dyDescent="0.3">
      <c r="A196" s="5"/>
      <c r="E196" s="28"/>
      <c r="H196" s="28"/>
      <c r="K196" s="28"/>
      <c r="N196" s="28"/>
    </row>
    <row r="197" spans="1:14" ht="14.25" customHeight="1" x14ac:dyDescent="0.3">
      <c r="A197" s="5"/>
      <c r="E197" s="28"/>
      <c r="H197" s="28"/>
      <c r="K197" s="28"/>
      <c r="N197" s="28"/>
    </row>
    <row r="198" spans="1:14" ht="14.25" customHeight="1" x14ac:dyDescent="0.3">
      <c r="A198" s="5"/>
      <c r="E198" s="28"/>
      <c r="H198" s="28"/>
      <c r="K198" s="28"/>
      <c r="N198" s="28"/>
    </row>
    <row r="199" spans="1:14" ht="14.25" customHeight="1" x14ac:dyDescent="0.3">
      <c r="A199" s="5"/>
      <c r="E199" s="28"/>
      <c r="H199" s="28"/>
      <c r="K199" s="28"/>
      <c r="N199" s="28"/>
    </row>
    <row r="200" spans="1:14" ht="14.25" customHeight="1" x14ac:dyDescent="0.3">
      <c r="A200" s="5"/>
      <c r="E200" s="28"/>
      <c r="H200" s="28"/>
      <c r="K200" s="28"/>
      <c r="N200" s="28"/>
    </row>
    <row r="201" spans="1:14" ht="14.25" customHeight="1" x14ac:dyDescent="0.3">
      <c r="A201" s="5"/>
      <c r="E201" s="28"/>
      <c r="H201" s="28"/>
      <c r="K201" s="28"/>
      <c r="N201" s="28"/>
    </row>
    <row r="202" spans="1:14" ht="14.25" customHeight="1" x14ac:dyDescent="0.3">
      <c r="A202" s="5"/>
      <c r="E202" s="28"/>
      <c r="H202" s="28"/>
      <c r="K202" s="28"/>
      <c r="N202" s="28"/>
    </row>
    <row r="203" spans="1:14" ht="14.25" customHeight="1" x14ac:dyDescent="0.3">
      <c r="A203" s="5"/>
      <c r="E203" s="28"/>
      <c r="H203" s="28"/>
      <c r="K203" s="28"/>
      <c r="N203" s="28"/>
    </row>
    <row r="204" spans="1:14" ht="14.25" customHeight="1" x14ac:dyDescent="0.3">
      <c r="A204" s="5"/>
      <c r="E204" s="28"/>
      <c r="H204" s="28"/>
      <c r="K204" s="28"/>
      <c r="N204" s="28"/>
    </row>
    <row r="205" spans="1:14" ht="14.25" customHeight="1" x14ac:dyDescent="0.3">
      <c r="A205" s="5"/>
      <c r="E205" s="28"/>
      <c r="H205" s="28"/>
      <c r="K205" s="28"/>
      <c r="N205" s="28"/>
    </row>
    <row r="206" spans="1:14" ht="14.25" customHeight="1" x14ac:dyDescent="0.3">
      <c r="A206" s="5"/>
      <c r="E206" s="28"/>
      <c r="H206" s="28"/>
      <c r="K206" s="28"/>
      <c r="N206" s="28"/>
    </row>
    <row r="207" spans="1:14" ht="14.25" customHeight="1" x14ac:dyDescent="0.3">
      <c r="A207" s="5"/>
      <c r="E207" s="28"/>
      <c r="H207" s="28"/>
      <c r="K207" s="28"/>
      <c r="N207" s="28"/>
    </row>
    <row r="208" spans="1:14" ht="14.25" customHeight="1" x14ac:dyDescent="0.3">
      <c r="A208" s="5"/>
      <c r="E208" s="28"/>
      <c r="H208" s="28"/>
      <c r="K208" s="28"/>
      <c r="N208" s="28"/>
    </row>
    <row r="209" spans="1:14" ht="14.25" customHeight="1" x14ac:dyDescent="0.3">
      <c r="A209" s="5"/>
      <c r="E209" s="28"/>
      <c r="H209" s="28"/>
      <c r="K209" s="28"/>
      <c r="N209" s="28"/>
    </row>
    <row r="210" spans="1:14" ht="14.25" customHeight="1" x14ac:dyDescent="0.3">
      <c r="A210" s="5"/>
      <c r="E210" s="28"/>
      <c r="H210" s="28"/>
      <c r="K210" s="28"/>
      <c r="N210" s="28"/>
    </row>
    <row r="211" spans="1:14" ht="14.25" customHeight="1" x14ac:dyDescent="0.3">
      <c r="A211" s="5"/>
      <c r="E211" s="28"/>
      <c r="H211" s="28"/>
      <c r="K211" s="28"/>
      <c r="N211" s="28"/>
    </row>
    <row r="212" spans="1:14" ht="14.25" customHeight="1" x14ac:dyDescent="0.3">
      <c r="A212" s="5"/>
      <c r="E212" s="28"/>
      <c r="H212" s="28"/>
      <c r="K212" s="28"/>
      <c r="N212" s="28"/>
    </row>
    <row r="213" spans="1:14" ht="14.25" customHeight="1" x14ac:dyDescent="0.3">
      <c r="A213" s="5"/>
      <c r="E213" s="28"/>
      <c r="H213" s="28"/>
      <c r="K213" s="28"/>
      <c r="N213" s="28"/>
    </row>
    <row r="214" spans="1:14" ht="14.25" customHeight="1" x14ac:dyDescent="0.3">
      <c r="A214" s="5"/>
      <c r="E214" s="28"/>
      <c r="H214" s="28"/>
      <c r="K214" s="28"/>
      <c r="N214" s="28"/>
    </row>
    <row r="215" spans="1:14" ht="14.25" customHeight="1" x14ac:dyDescent="0.3">
      <c r="A215" s="5"/>
      <c r="E215" s="28"/>
      <c r="H215" s="28"/>
      <c r="K215" s="28"/>
      <c r="N215" s="28"/>
    </row>
    <row r="216" spans="1:14" ht="14.25" customHeight="1" x14ac:dyDescent="0.3">
      <c r="A216" s="5"/>
      <c r="E216" s="28"/>
      <c r="H216" s="28"/>
      <c r="K216" s="28"/>
      <c r="N216" s="28"/>
    </row>
    <row r="217" spans="1:14" ht="14.25" customHeight="1" x14ac:dyDescent="0.3">
      <c r="A217" s="5"/>
      <c r="E217" s="28"/>
      <c r="H217" s="28"/>
      <c r="K217" s="28"/>
      <c r="N217" s="28"/>
    </row>
    <row r="218" spans="1:14" ht="14.25" customHeight="1" x14ac:dyDescent="0.3">
      <c r="A218" s="5"/>
      <c r="E218" s="28"/>
      <c r="H218" s="28"/>
      <c r="K218" s="28"/>
      <c r="N218" s="28"/>
    </row>
    <row r="219" spans="1:14" ht="14.25" customHeight="1" x14ac:dyDescent="0.3">
      <c r="A219" s="5"/>
      <c r="E219" s="28"/>
      <c r="H219" s="28"/>
      <c r="K219" s="28"/>
      <c r="N219" s="28"/>
    </row>
    <row r="220" spans="1:14" ht="14.25" customHeight="1" x14ac:dyDescent="0.3">
      <c r="A220" s="5"/>
      <c r="E220" s="28"/>
      <c r="H220" s="28"/>
      <c r="K220" s="28"/>
      <c r="N220" s="28"/>
    </row>
    <row r="221" spans="1:14" ht="14.25" customHeight="1" x14ac:dyDescent="0.3">
      <c r="A221" s="5"/>
      <c r="E221" s="28"/>
      <c r="H221" s="28"/>
      <c r="K221" s="28"/>
      <c r="N221" s="28"/>
    </row>
    <row r="222" spans="1:14" ht="14.25" customHeight="1" x14ac:dyDescent="0.3">
      <c r="A222" s="5"/>
      <c r="E222" s="28"/>
      <c r="H222" s="28"/>
      <c r="K222" s="28"/>
      <c r="N222" s="28"/>
    </row>
    <row r="223" spans="1:14" ht="14.25" customHeight="1" x14ac:dyDescent="0.3">
      <c r="A223" s="5"/>
      <c r="E223" s="28"/>
      <c r="H223" s="28"/>
      <c r="K223" s="28"/>
      <c r="N223" s="28"/>
    </row>
    <row r="224" spans="1:14" ht="14.25" customHeight="1" x14ac:dyDescent="0.3">
      <c r="A224" s="5"/>
      <c r="E224" s="28"/>
      <c r="H224" s="28"/>
      <c r="K224" s="28"/>
      <c r="N224" s="28"/>
    </row>
    <row r="225" spans="1:14" ht="14.25" customHeight="1" x14ac:dyDescent="0.3">
      <c r="A225" s="5"/>
      <c r="E225" s="28"/>
      <c r="H225" s="28"/>
      <c r="K225" s="28"/>
      <c r="N225" s="28"/>
    </row>
    <row r="226" spans="1:14" ht="14.25" customHeight="1" x14ac:dyDescent="0.3">
      <c r="A226" s="5"/>
      <c r="E226" s="28"/>
      <c r="H226" s="28"/>
      <c r="K226" s="28"/>
      <c r="N226" s="28"/>
    </row>
    <row r="227" spans="1:14" ht="14.25" customHeight="1" x14ac:dyDescent="0.3">
      <c r="A227" s="5"/>
      <c r="E227" s="28"/>
      <c r="H227" s="28"/>
      <c r="K227" s="28"/>
      <c r="N227" s="28"/>
    </row>
    <row r="228" spans="1:14" ht="14.25" customHeight="1" x14ac:dyDescent="0.3">
      <c r="A228" s="5"/>
      <c r="E228" s="28"/>
      <c r="H228" s="28"/>
      <c r="K228" s="28"/>
      <c r="N228" s="28"/>
    </row>
    <row r="229" spans="1:14" ht="14.25" customHeight="1" x14ac:dyDescent="0.3">
      <c r="A229" s="5"/>
      <c r="E229" s="28"/>
      <c r="H229" s="28"/>
      <c r="K229" s="28"/>
      <c r="N229" s="28"/>
    </row>
    <row r="230" spans="1:14" ht="14.25" customHeight="1" x14ac:dyDescent="0.3">
      <c r="A230" s="5"/>
      <c r="E230" s="28"/>
      <c r="H230" s="28"/>
      <c r="K230" s="28"/>
      <c r="N230" s="28"/>
    </row>
    <row r="231" spans="1:14" ht="14.25" customHeight="1" x14ac:dyDescent="0.3">
      <c r="A231" s="5"/>
      <c r="E231" s="28"/>
      <c r="H231" s="28"/>
      <c r="K231" s="28"/>
      <c r="N231" s="28"/>
    </row>
    <row r="232" spans="1:14" ht="14.25" customHeight="1" x14ac:dyDescent="0.3">
      <c r="A232" s="5"/>
      <c r="E232" s="28"/>
      <c r="H232" s="28"/>
      <c r="K232" s="28"/>
      <c r="N232" s="28"/>
    </row>
    <row r="233" spans="1:14" ht="14.25" customHeight="1" x14ac:dyDescent="0.3">
      <c r="A233" s="5"/>
      <c r="E233" s="28"/>
      <c r="H233" s="28"/>
      <c r="K233" s="28"/>
      <c r="N233" s="28"/>
    </row>
    <row r="234" spans="1:14" ht="14.25" customHeight="1" x14ac:dyDescent="0.3">
      <c r="A234" s="5"/>
      <c r="E234" s="28"/>
      <c r="H234" s="28"/>
      <c r="K234" s="28"/>
      <c r="N234" s="28"/>
    </row>
    <row r="235" spans="1:14" ht="14.25" customHeight="1" x14ac:dyDescent="0.3">
      <c r="A235" s="5"/>
      <c r="E235" s="28"/>
      <c r="H235" s="28"/>
      <c r="K235" s="28"/>
      <c r="N235" s="28"/>
    </row>
    <row r="236" spans="1:14" ht="14.25" customHeight="1" x14ac:dyDescent="0.3">
      <c r="A236" s="5"/>
      <c r="E236" s="28"/>
      <c r="H236" s="28"/>
      <c r="K236" s="28"/>
      <c r="N236" s="28"/>
    </row>
    <row r="237" spans="1:14" ht="14.25" customHeight="1" x14ac:dyDescent="0.3">
      <c r="A237" s="5"/>
      <c r="E237" s="28"/>
      <c r="H237" s="28"/>
      <c r="K237" s="28"/>
      <c r="N237" s="28"/>
    </row>
    <row r="238" spans="1:14" ht="14.25" customHeight="1" x14ac:dyDescent="0.3">
      <c r="A238" s="5"/>
      <c r="E238" s="28"/>
      <c r="H238" s="28"/>
      <c r="K238" s="28"/>
      <c r="N238" s="28"/>
    </row>
    <row r="239" spans="1:14" ht="14.25" customHeight="1" x14ac:dyDescent="0.3">
      <c r="A239" s="5"/>
      <c r="E239" s="28"/>
      <c r="H239" s="28"/>
      <c r="K239" s="28"/>
      <c r="N239" s="28"/>
    </row>
    <row r="240" spans="1:14" ht="14.25" customHeight="1" x14ac:dyDescent="0.3">
      <c r="A240" s="5"/>
      <c r="E240" s="28"/>
      <c r="H240" s="28"/>
      <c r="K240" s="28"/>
      <c r="N240" s="28"/>
    </row>
    <row r="241" spans="1:14" ht="14.25" customHeight="1" x14ac:dyDescent="0.3">
      <c r="A241" s="5"/>
      <c r="E241" s="28"/>
      <c r="H241" s="28"/>
      <c r="K241" s="28"/>
      <c r="N241" s="28"/>
    </row>
    <row r="242" spans="1:14" ht="14.25" customHeight="1" x14ac:dyDescent="0.3">
      <c r="A242" s="5"/>
      <c r="E242" s="28"/>
      <c r="H242" s="28"/>
      <c r="K242" s="28"/>
      <c r="N242" s="28"/>
    </row>
    <row r="243" spans="1:14" ht="14.25" customHeight="1" x14ac:dyDescent="0.3">
      <c r="A243" s="5"/>
      <c r="E243" s="28"/>
      <c r="H243" s="28"/>
      <c r="K243" s="28"/>
      <c r="N243" s="28"/>
    </row>
    <row r="244" spans="1:14" ht="14.25" customHeight="1" x14ac:dyDescent="0.3">
      <c r="A244" s="5"/>
      <c r="E244" s="28"/>
      <c r="H244" s="28"/>
      <c r="K244" s="28"/>
      <c r="N244" s="28"/>
    </row>
    <row r="245" spans="1:14" ht="14.25" customHeight="1" x14ac:dyDescent="0.3">
      <c r="A245" s="5"/>
      <c r="E245" s="28"/>
      <c r="H245" s="28"/>
      <c r="K245" s="28"/>
      <c r="N245" s="28"/>
    </row>
    <row r="246" spans="1:14" ht="14.25" customHeight="1" x14ac:dyDescent="0.3">
      <c r="A246" s="5"/>
      <c r="E246" s="28"/>
      <c r="H246" s="28"/>
      <c r="K246" s="28"/>
      <c r="N246" s="28"/>
    </row>
    <row r="247" spans="1:14" ht="14.25" customHeight="1" x14ac:dyDescent="0.3">
      <c r="A247" s="5"/>
      <c r="E247" s="28"/>
      <c r="H247" s="28"/>
      <c r="K247" s="28"/>
      <c r="N247" s="28"/>
    </row>
    <row r="248" spans="1:14" ht="14.25" customHeight="1" x14ac:dyDescent="0.3">
      <c r="A248" s="5"/>
      <c r="E248" s="28"/>
      <c r="H248" s="28"/>
      <c r="K248" s="28"/>
      <c r="N248" s="28"/>
    </row>
    <row r="249" spans="1:14" ht="14.25" customHeight="1" x14ac:dyDescent="0.3">
      <c r="A249" s="5"/>
      <c r="E249" s="28"/>
      <c r="H249" s="28"/>
      <c r="K249" s="28"/>
      <c r="N249" s="28"/>
    </row>
    <row r="250" spans="1:14" ht="14.25" customHeight="1" x14ac:dyDescent="0.3">
      <c r="A250" s="5"/>
      <c r="E250" s="28"/>
      <c r="H250" s="28"/>
      <c r="K250" s="28"/>
      <c r="N250" s="28"/>
    </row>
    <row r="251" spans="1:14" ht="14.25" customHeight="1" x14ac:dyDescent="0.3">
      <c r="A251" s="5"/>
      <c r="E251" s="28"/>
      <c r="H251" s="28"/>
      <c r="K251" s="28"/>
      <c r="N251" s="28"/>
    </row>
    <row r="252" spans="1:14" ht="14.25" customHeight="1" x14ac:dyDescent="0.3">
      <c r="A252" s="5"/>
      <c r="E252" s="28"/>
      <c r="H252" s="28"/>
      <c r="K252" s="28"/>
      <c r="N252" s="28"/>
    </row>
    <row r="253" spans="1:14" ht="14.25" customHeight="1" x14ac:dyDescent="0.3">
      <c r="A253" s="5"/>
      <c r="E253" s="28"/>
      <c r="H253" s="28"/>
      <c r="K253" s="28"/>
      <c r="N253" s="28"/>
    </row>
    <row r="254" spans="1:14" ht="14.25" customHeight="1" x14ac:dyDescent="0.3">
      <c r="A254" s="5"/>
      <c r="E254" s="28"/>
      <c r="H254" s="28"/>
      <c r="K254" s="28"/>
      <c r="N254" s="28"/>
    </row>
    <row r="255" spans="1:14" ht="14.25" customHeight="1" x14ac:dyDescent="0.3">
      <c r="A255" s="5"/>
      <c r="E255" s="28"/>
      <c r="H255" s="28"/>
      <c r="K255" s="28"/>
      <c r="N255" s="28"/>
    </row>
    <row r="256" spans="1:14" ht="14.25" customHeight="1" x14ac:dyDescent="0.3">
      <c r="A256" s="5"/>
      <c r="E256" s="28"/>
      <c r="H256" s="28"/>
      <c r="K256" s="28"/>
      <c r="N256" s="28"/>
    </row>
    <row r="257" spans="1:14" ht="14.25" customHeight="1" x14ac:dyDescent="0.3">
      <c r="A257" s="5"/>
      <c r="E257" s="28"/>
      <c r="H257" s="28"/>
      <c r="K257" s="28"/>
      <c r="N257" s="28"/>
    </row>
    <row r="258" spans="1:14" ht="14.25" customHeight="1" x14ac:dyDescent="0.3">
      <c r="A258" s="5"/>
      <c r="E258" s="28"/>
      <c r="H258" s="28"/>
      <c r="K258" s="28"/>
      <c r="N258" s="28"/>
    </row>
    <row r="259" spans="1:14" ht="14.25" customHeight="1" x14ac:dyDescent="0.3">
      <c r="A259" s="5"/>
      <c r="E259" s="28"/>
      <c r="H259" s="28"/>
      <c r="K259" s="28"/>
      <c r="N259" s="28"/>
    </row>
    <row r="260" spans="1:14" ht="14.25" customHeight="1" x14ac:dyDescent="0.3">
      <c r="A260" s="5"/>
      <c r="E260" s="28"/>
      <c r="H260" s="28"/>
      <c r="K260" s="28"/>
      <c r="N260" s="28"/>
    </row>
    <row r="261" spans="1:14" ht="14.25" customHeight="1" x14ac:dyDescent="0.3">
      <c r="A261" s="5"/>
      <c r="E261" s="28"/>
      <c r="H261" s="28"/>
      <c r="K261" s="28"/>
      <c r="N261" s="28"/>
    </row>
    <row r="262" spans="1:14" ht="14.25" customHeight="1" x14ac:dyDescent="0.3">
      <c r="A262" s="5"/>
      <c r="E262" s="28"/>
      <c r="H262" s="28"/>
      <c r="K262" s="28"/>
      <c r="N262" s="28"/>
    </row>
    <row r="263" spans="1:14" ht="14.25" customHeight="1" x14ac:dyDescent="0.3">
      <c r="A263" s="5"/>
      <c r="E263" s="28"/>
      <c r="H263" s="28"/>
      <c r="K263" s="28"/>
      <c r="N263" s="28"/>
    </row>
    <row r="264" spans="1:14" ht="14.25" customHeight="1" x14ac:dyDescent="0.3">
      <c r="A264" s="5"/>
      <c r="E264" s="28"/>
      <c r="H264" s="28"/>
      <c r="K264" s="28"/>
      <c r="N264" s="28"/>
    </row>
    <row r="265" spans="1:14" ht="14.25" customHeight="1" x14ac:dyDescent="0.3">
      <c r="A265" s="5"/>
      <c r="E265" s="28"/>
      <c r="H265" s="28"/>
      <c r="K265" s="28"/>
      <c r="N265" s="28"/>
    </row>
    <row r="266" spans="1:14" ht="14.25" customHeight="1" x14ac:dyDescent="0.3">
      <c r="A266" s="5"/>
      <c r="E266" s="28"/>
      <c r="H266" s="28"/>
      <c r="K266" s="28"/>
      <c r="N266" s="28"/>
    </row>
    <row r="267" spans="1:14" ht="14.25" customHeight="1" x14ac:dyDescent="0.3">
      <c r="A267" s="5"/>
      <c r="E267" s="28"/>
      <c r="H267" s="28"/>
      <c r="K267" s="28"/>
      <c r="N267" s="28"/>
    </row>
    <row r="268" spans="1:14" ht="14.25" customHeight="1" x14ac:dyDescent="0.3">
      <c r="A268" s="5"/>
      <c r="E268" s="28"/>
      <c r="H268" s="28"/>
      <c r="K268" s="28"/>
      <c r="N268" s="28"/>
    </row>
    <row r="269" spans="1:14" ht="14.25" customHeight="1" x14ac:dyDescent="0.3">
      <c r="A269" s="5"/>
      <c r="E269" s="28"/>
      <c r="H269" s="28"/>
      <c r="K269" s="28"/>
      <c r="N269" s="28"/>
    </row>
    <row r="270" spans="1:14" ht="14.25" customHeight="1" x14ac:dyDescent="0.3">
      <c r="A270" s="5"/>
      <c r="E270" s="28"/>
      <c r="H270" s="28"/>
      <c r="K270" s="28"/>
      <c r="N270" s="28"/>
    </row>
    <row r="271" spans="1:14" ht="14.25" customHeight="1" x14ac:dyDescent="0.3">
      <c r="A271" s="5"/>
      <c r="E271" s="28"/>
      <c r="H271" s="28"/>
      <c r="K271" s="28"/>
      <c r="N271" s="28"/>
    </row>
    <row r="272" spans="1:14" ht="14.25" customHeight="1" x14ac:dyDescent="0.3">
      <c r="A272" s="5"/>
      <c r="E272" s="28"/>
      <c r="H272" s="28"/>
      <c r="K272" s="28"/>
      <c r="N272" s="28"/>
    </row>
    <row r="273" spans="1:14" ht="14.25" customHeight="1" x14ac:dyDescent="0.3">
      <c r="A273" s="5"/>
      <c r="E273" s="28"/>
      <c r="H273" s="28"/>
      <c r="K273" s="28"/>
      <c r="N273" s="28"/>
    </row>
    <row r="274" spans="1:14" ht="14.25" customHeight="1" x14ac:dyDescent="0.3">
      <c r="A274" s="5"/>
      <c r="E274" s="28"/>
      <c r="H274" s="28"/>
      <c r="K274" s="28"/>
      <c r="N274" s="28"/>
    </row>
    <row r="275" spans="1:14" ht="14.25" customHeight="1" x14ac:dyDescent="0.3">
      <c r="A275" s="5"/>
      <c r="E275" s="28"/>
      <c r="H275" s="28"/>
      <c r="K275" s="28"/>
      <c r="N275" s="28"/>
    </row>
    <row r="276" spans="1:14" ht="14.25" customHeight="1" x14ac:dyDescent="0.3">
      <c r="A276" s="5"/>
      <c r="E276" s="28"/>
      <c r="H276" s="28"/>
      <c r="K276" s="28"/>
      <c r="N276" s="28"/>
    </row>
    <row r="277" spans="1:14" ht="14.25" customHeight="1" x14ac:dyDescent="0.3">
      <c r="A277" s="5"/>
      <c r="E277" s="28"/>
      <c r="H277" s="28"/>
      <c r="K277" s="28"/>
      <c r="N277" s="28"/>
    </row>
    <row r="278" spans="1:14" ht="14.25" customHeight="1" x14ac:dyDescent="0.3">
      <c r="A278" s="5"/>
      <c r="E278" s="28"/>
      <c r="H278" s="28"/>
      <c r="K278" s="28"/>
      <c r="N278" s="28"/>
    </row>
    <row r="279" spans="1:14" ht="14.25" customHeight="1" x14ac:dyDescent="0.3">
      <c r="A279" s="5"/>
      <c r="E279" s="28"/>
      <c r="H279" s="28"/>
      <c r="K279" s="28"/>
      <c r="N279" s="28"/>
    </row>
    <row r="280" spans="1:14" ht="14.25" customHeight="1" x14ac:dyDescent="0.3">
      <c r="A280" s="5"/>
      <c r="E280" s="28"/>
      <c r="H280" s="28"/>
      <c r="K280" s="28"/>
      <c r="N280" s="28"/>
    </row>
    <row r="281" spans="1:14" ht="14.25" customHeight="1" x14ac:dyDescent="0.3">
      <c r="A281" s="5"/>
      <c r="E281" s="28"/>
      <c r="H281" s="28"/>
      <c r="K281" s="28"/>
      <c r="N281" s="28"/>
    </row>
    <row r="282" spans="1:14" ht="14.25" customHeight="1" x14ac:dyDescent="0.3">
      <c r="A282" s="5"/>
      <c r="E282" s="28"/>
      <c r="H282" s="28"/>
      <c r="K282" s="28"/>
      <c r="N282" s="28"/>
    </row>
    <row r="283" spans="1:14" ht="14.25" customHeight="1" x14ac:dyDescent="0.3">
      <c r="A283" s="5"/>
      <c r="E283" s="28"/>
      <c r="H283" s="28"/>
      <c r="K283" s="28"/>
      <c r="N283" s="28"/>
    </row>
    <row r="284" spans="1:14" ht="14.25" customHeight="1" x14ac:dyDescent="0.3">
      <c r="A284" s="5"/>
      <c r="E284" s="28"/>
      <c r="H284" s="28"/>
      <c r="K284" s="28"/>
      <c r="N284" s="28"/>
    </row>
    <row r="285" spans="1:14" ht="14.25" customHeight="1" x14ac:dyDescent="0.3">
      <c r="A285" s="5"/>
      <c r="E285" s="28"/>
      <c r="H285" s="28"/>
      <c r="K285" s="28"/>
      <c r="N285" s="28"/>
    </row>
    <row r="286" spans="1:14" ht="14.25" customHeight="1" x14ac:dyDescent="0.3">
      <c r="A286" s="5"/>
      <c r="E286" s="28"/>
      <c r="H286" s="28"/>
      <c r="K286" s="28"/>
      <c r="N286" s="28"/>
    </row>
    <row r="287" spans="1:14" ht="14.25" customHeight="1" x14ac:dyDescent="0.3">
      <c r="A287" s="5"/>
      <c r="E287" s="28"/>
      <c r="H287" s="28"/>
      <c r="K287" s="28"/>
      <c r="N287" s="28"/>
    </row>
    <row r="288" spans="1:14" ht="14.25" customHeight="1" x14ac:dyDescent="0.3">
      <c r="A288" s="5"/>
      <c r="E288" s="28"/>
      <c r="H288" s="28"/>
      <c r="K288" s="28"/>
      <c r="N288" s="28"/>
    </row>
    <row r="289" spans="1:14" ht="14.25" customHeight="1" x14ac:dyDescent="0.3">
      <c r="A289" s="5"/>
      <c r="E289" s="28"/>
      <c r="H289" s="28"/>
      <c r="K289" s="28"/>
      <c r="N289" s="28"/>
    </row>
    <row r="290" spans="1:14" ht="14.25" customHeight="1" x14ac:dyDescent="0.3">
      <c r="A290" s="5"/>
      <c r="E290" s="28"/>
      <c r="H290" s="28"/>
      <c r="K290" s="28"/>
      <c r="N290" s="28"/>
    </row>
    <row r="291" spans="1:14" ht="14.25" customHeight="1" x14ac:dyDescent="0.3">
      <c r="A291" s="5"/>
      <c r="E291" s="28"/>
      <c r="H291" s="28"/>
      <c r="K291" s="28"/>
      <c r="N291" s="28"/>
    </row>
    <row r="292" spans="1:14" ht="14.25" customHeight="1" x14ac:dyDescent="0.3">
      <c r="A292" s="5"/>
      <c r="E292" s="28"/>
      <c r="H292" s="28"/>
      <c r="K292" s="28"/>
      <c r="N292" s="28"/>
    </row>
    <row r="293" spans="1:14" ht="14.25" customHeight="1" x14ac:dyDescent="0.3">
      <c r="A293" s="5"/>
      <c r="E293" s="28"/>
      <c r="H293" s="28"/>
      <c r="K293" s="28"/>
      <c r="N293" s="28"/>
    </row>
    <row r="294" spans="1:14" ht="14.25" customHeight="1" x14ac:dyDescent="0.3">
      <c r="A294" s="5"/>
      <c r="E294" s="28"/>
      <c r="H294" s="28"/>
      <c r="K294" s="28"/>
      <c r="N294" s="28"/>
    </row>
    <row r="295" spans="1:14" ht="14.25" customHeight="1" x14ac:dyDescent="0.3">
      <c r="A295" s="5"/>
      <c r="E295" s="28"/>
      <c r="H295" s="28"/>
      <c r="K295" s="28"/>
      <c r="N295" s="28"/>
    </row>
    <row r="296" spans="1:14" ht="14.25" customHeight="1" x14ac:dyDescent="0.3">
      <c r="A296" s="5"/>
      <c r="E296" s="28"/>
      <c r="H296" s="28"/>
      <c r="K296" s="28"/>
      <c r="N296" s="28"/>
    </row>
    <row r="297" spans="1:14" ht="14.25" customHeight="1" x14ac:dyDescent="0.3">
      <c r="A297" s="5"/>
      <c r="E297" s="28"/>
      <c r="H297" s="28"/>
      <c r="K297" s="28"/>
      <c r="N297" s="28"/>
    </row>
    <row r="298" spans="1:14" ht="14.25" customHeight="1" x14ac:dyDescent="0.3">
      <c r="A298" s="5"/>
      <c r="E298" s="28"/>
      <c r="H298" s="28"/>
      <c r="K298" s="28"/>
      <c r="N298" s="28"/>
    </row>
    <row r="299" spans="1:14" ht="14.25" customHeight="1" x14ac:dyDescent="0.3">
      <c r="A299" s="5"/>
      <c r="E299" s="28"/>
      <c r="H299" s="28"/>
      <c r="K299" s="28"/>
      <c r="N299" s="28"/>
    </row>
    <row r="300" spans="1:14" ht="14.25" customHeight="1" x14ac:dyDescent="0.3">
      <c r="A300" s="5"/>
      <c r="E300" s="28"/>
      <c r="H300" s="28"/>
      <c r="K300" s="28"/>
      <c r="N300" s="28"/>
    </row>
    <row r="301" spans="1:14" ht="14.25" customHeight="1" x14ac:dyDescent="0.3">
      <c r="A301" s="5"/>
      <c r="E301" s="28"/>
      <c r="H301" s="28"/>
      <c r="K301" s="28"/>
      <c r="N301" s="28"/>
    </row>
    <row r="302" spans="1:14" ht="14.25" customHeight="1" x14ac:dyDescent="0.3">
      <c r="A302" s="5"/>
      <c r="E302" s="28"/>
      <c r="H302" s="28"/>
      <c r="K302" s="28"/>
      <c r="N302" s="28"/>
    </row>
    <row r="303" spans="1:14" ht="14.25" customHeight="1" x14ac:dyDescent="0.3">
      <c r="A303" s="5"/>
      <c r="E303" s="28"/>
      <c r="H303" s="28"/>
      <c r="K303" s="28"/>
      <c r="N303" s="28"/>
    </row>
    <row r="304" spans="1:14" ht="14.25" customHeight="1" x14ac:dyDescent="0.3">
      <c r="A304" s="5"/>
      <c r="E304" s="28"/>
      <c r="H304" s="28"/>
      <c r="K304" s="28"/>
      <c r="N304" s="28"/>
    </row>
    <row r="305" spans="1:14" ht="14.25" customHeight="1" x14ac:dyDescent="0.3">
      <c r="A305" s="5"/>
      <c r="E305" s="28"/>
      <c r="H305" s="28"/>
      <c r="K305" s="28"/>
      <c r="N305" s="28"/>
    </row>
    <row r="306" spans="1:14" ht="14.25" customHeight="1" x14ac:dyDescent="0.3">
      <c r="A306" s="5"/>
      <c r="E306" s="28"/>
      <c r="H306" s="28"/>
      <c r="K306" s="28"/>
      <c r="N306" s="28"/>
    </row>
    <row r="307" spans="1:14" ht="14.25" customHeight="1" x14ac:dyDescent="0.3">
      <c r="A307" s="5"/>
      <c r="E307" s="28"/>
      <c r="H307" s="28"/>
      <c r="K307" s="28"/>
      <c r="N307" s="28"/>
    </row>
    <row r="308" spans="1:14" ht="14.25" customHeight="1" x14ac:dyDescent="0.3">
      <c r="A308" s="5"/>
      <c r="E308" s="28"/>
      <c r="H308" s="28"/>
      <c r="K308" s="28"/>
      <c r="N308" s="28"/>
    </row>
    <row r="309" spans="1:14" ht="14.25" customHeight="1" x14ac:dyDescent="0.3">
      <c r="A309" s="5"/>
      <c r="E309" s="28"/>
      <c r="H309" s="28"/>
      <c r="K309" s="28"/>
      <c r="N309" s="28"/>
    </row>
    <row r="310" spans="1:14" ht="14.25" customHeight="1" x14ac:dyDescent="0.3">
      <c r="A310" s="5"/>
      <c r="E310" s="28"/>
      <c r="H310" s="28"/>
      <c r="K310" s="28"/>
      <c r="N310" s="28"/>
    </row>
    <row r="311" spans="1:14" ht="14.25" customHeight="1" x14ac:dyDescent="0.3">
      <c r="A311" s="5"/>
      <c r="E311" s="28"/>
      <c r="H311" s="28"/>
      <c r="K311" s="28"/>
      <c r="N311" s="28"/>
    </row>
    <row r="312" spans="1:14" ht="14.25" customHeight="1" x14ac:dyDescent="0.3">
      <c r="A312" s="5"/>
      <c r="E312" s="28"/>
      <c r="H312" s="28"/>
      <c r="K312" s="28"/>
      <c r="N312" s="28"/>
    </row>
    <row r="313" spans="1:14" ht="14.25" customHeight="1" x14ac:dyDescent="0.3">
      <c r="A313" s="5"/>
      <c r="E313" s="28"/>
      <c r="H313" s="28"/>
      <c r="K313" s="28"/>
      <c r="N313" s="28"/>
    </row>
    <row r="314" spans="1:14" ht="14.25" customHeight="1" x14ac:dyDescent="0.3">
      <c r="A314" s="5"/>
      <c r="E314" s="28"/>
      <c r="H314" s="28"/>
      <c r="K314" s="28"/>
      <c r="N314" s="28"/>
    </row>
    <row r="315" spans="1:14" ht="14.25" customHeight="1" x14ac:dyDescent="0.3">
      <c r="A315" s="5"/>
      <c r="E315" s="28"/>
      <c r="H315" s="28"/>
      <c r="K315" s="28"/>
      <c r="N315" s="28"/>
    </row>
    <row r="316" spans="1:14" ht="14.25" customHeight="1" x14ac:dyDescent="0.3">
      <c r="A316" s="5"/>
      <c r="E316" s="28"/>
      <c r="H316" s="28"/>
      <c r="K316" s="28"/>
      <c r="N316" s="28"/>
    </row>
    <row r="317" spans="1:14" ht="14.25" customHeight="1" x14ac:dyDescent="0.3">
      <c r="A317" s="5"/>
      <c r="E317" s="28"/>
      <c r="H317" s="28"/>
      <c r="K317" s="28"/>
      <c r="N317" s="28"/>
    </row>
    <row r="318" spans="1:14" ht="14.25" customHeight="1" x14ac:dyDescent="0.3">
      <c r="A318" s="5"/>
      <c r="E318" s="28"/>
      <c r="H318" s="28"/>
      <c r="K318" s="28"/>
      <c r="N318" s="28"/>
    </row>
    <row r="319" spans="1:14" ht="14.25" customHeight="1" x14ac:dyDescent="0.3">
      <c r="A319" s="5"/>
      <c r="E319" s="28"/>
      <c r="H319" s="28"/>
      <c r="K319" s="28"/>
      <c r="N319" s="28"/>
    </row>
    <row r="320" spans="1:14" ht="14.25" customHeight="1" x14ac:dyDescent="0.3">
      <c r="A320" s="5"/>
      <c r="E320" s="28"/>
      <c r="H320" s="28"/>
      <c r="K320" s="28"/>
      <c r="N320" s="28"/>
    </row>
    <row r="321" spans="1:14" ht="14.25" customHeight="1" x14ac:dyDescent="0.3">
      <c r="A321" s="5"/>
      <c r="E321" s="28"/>
      <c r="H321" s="28"/>
      <c r="K321" s="28"/>
      <c r="N321" s="28"/>
    </row>
    <row r="322" spans="1:14" ht="14.25" customHeight="1" x14ac:dyDescent="0.3">
      <c r="A322" s="5"/>
      <c r="E322" s="28"/>
      <c r="H322" s="28"/>
      <c r="K322" s="28"/>
      <c r="N322" s="28"/>
    </row>
    <row r="323" spans="1:14" ht="14.25" customHeight="1" x14ac:dyDescent="0.3">
      <c r="A323" s="5"/>
      <c r="E323" s="28"/>
      <c r="H323" s="28"/>
      <c r="K323" s="28"/>
      <c r="N323" s="28"/>
    </row>
    <row r="324" spans="1:14" ht="14.25" customHeight="1" x14ac:dyDescent="0.3">
      <c r="A324" s="5"/>
      <c r="E324" s="28"/>
      <c r="H324" s="28"/>
      <c r="K324" s="28"/>
      <c r="N324" s="28"/>
    </row>
    <row r="325" spans="1:14" ht="14.25" customHeight="1" x14ac:dyDescent="0.3">
      <c r="A325" s="5"/>
      <c r="E325" s="28"/>
      <c r="H325" s="28"/>
      <c r="K325" s="28"/>
      <c r="N325" s="28"/>
    </row>
    <row r="326" spans="1:14" ht="14.25" customHeight="1" x14ac:dyDescent="0.3">
      <c r="A326" s="5"/>
      <c r="E326" s="28"/>
      <c r="H326" s="28"/>
      <c r="K326" s="28"/>
      <c r="N326" s="28"/>
    </row>
    <row r="327" spans="1:14" ht="14.25" customHeight="1" x14ac:dyDescent="0.3">
      <c r="A327" s="5"/>
      <c r="E327" s="28"/>
      <c r="H327" s="28"/>
      <c r="K327" s="28"/>
      <c r="N327" s="28"/>
    </row>
    <row r="328" spans="1:14" ht="14.25" customHeight="1" x14ac:dyDescent="0.3">
      <c r="A328" s="5"/>
      <c r="E328" s="28"/>
      <c r="H328" s="28"/>
      <c r="K328" s="28"/>
      <c r="N328" s="28"/>
    </row>
    <row r="329" spans="1:14" ht="14.25" customHeight="1" x14ac:dyDescent="0.3">
      <c r="A329" s="5"/>
      <c r="E329" s="28"/>
      <c r="H329" s="28"/>
      <c r="K329" s="28"/>
      <c r="N329" s="28"/>
    </row>
    <row r="330" spans="1:14" ht="14.25" customHeight="1" x14ac:dyDescent="0.3">
      <c r="A330" s="5"/>
      <c r="E330" s="28"/>
      <c r="H330" s="28"/>
      <c r="K330" s="28"/>
      <c r="N330" s="28"/>
    </row>
    <row r="331" spans="1:14" ht="14.25" customHeight="1" x14ac:dyDescent="0.3">
      <c r="A331" s="5"/>
      <c r="E331" s="28"/>
      <c r="H331" s="28"/>
      <c r="K331" s="28"/>
      <c r="N331" s="28"/>
    </row>
    <row r="332" spans="1:14" ht="14.25" customHeight="1" x14ac:dyDescent="0.3">
      <c r="A332" s="5"/>
      <c r="E332" s="28"/>
      <c r="H332" s="28"/>
      <c r="K332" s="28"/>
      <c r="N332" s="28"/>
    </row>
    <row r="333" spans="1:14" ht="14.25" customHeight="1" x14ac:dyDescent="0.3">
      <c r="A333" s="5"/>
      <c r="E333" s="28"/>
      <c r="H333" s="28"/>
      <c r="K333" s="28"/>
      <c r="N333" s="28"/>
    </row>
    <row r="334" spans="1:14" ht="14.25" customHeight="1" x14ac:dyDescent="0.3">
      <c r="A334" s="5"/>
      <c r="E334" s="28"/>
      <c r="H334" s="28"/>
      <c r="K334" s="28"/>
      <c r="N334" s="28"/>
    </row>
    <row r="335" spans="1:14" ht="14.25" customHeight="1" x14ac:dyDescent="0.3">
      <c r="A335" s="5"/>
      <c r="E335" s="28"/>
      <c r="H335" s="28"/>
      <c r="K335" s="28"/>
      <c r="N335" s="28"/>
    </row>
    <row r="336" spans="1:14" ht="14.25" customHeight="1" x14ac:dyDescent="0.3">
      <c r="A336" s="5"/>
      <c r="E336" s="28"/>
      <c r="H336" s="28"/>
      <c r="K336" s="28"/>
      <c r="N336" s="28"/>
    </row>
    <row r="337" spans="1:14" ht="14.25" customHeight="1" x14ac:dyDescent="0.3">
      <c r="A337" s="5"/>
      <c r="E337" s="28"/>
      <c r="H337" s="28"/>
      <c r="K337" s="28"/>
      <c r="N337" s="28"/>
    </row>
    <row r="338" spans="1:14" ht="14.25" customHeight="1" x14ac:dyDescent="0.3">
      <c r="A338" s="5"/>
      <c r="E338" s="28"/>
      <c r="H338" s="28"/>
      <c r="K338" s="28"/>
      <c r="N338" s="28"/>
    </row>
    <row r="339" spans="1:14" ht="14.25" customHeight="1" x14ac:dyDescent="0.3">
      <c r="A339" s="5"/>
      <c r="E339" s="28"/>
      <c r="H339" s="28"/>
      <c r="K339" s="28"/>
      <c r="N339" s="28"/>
    </row>
    <row r="340" spans="1:14" ht="14.25" customHeight="1" x14ac:dyDescent="0.3">
      <c r="A340" s="5"/>
      <c r="E340" s="28"/>
      <c r="H340" s="28"/>
      <c r="K340" s="28"/>
      <c r="N340" s="28"/>
    </row>
    <row r="341" spans="1:14" ht="14.25" customHeight="1" x14ac:dyDescent="0.3">
      <c r="A341" s="5"/>
      <c r="E341" s="28"/>
      <c r="H341" s="28"/>
      <c r="K341" s="28"/>
      <c r="N341" s="28"/>
    </row>
    <row r="342" spans="1:14" ht="14.25" customHeight="1" x14ac:dyDescent="0.3">
      <c r="A342" s="5"/>
      <c r="E342" s="28"/>
      <c r="H342" s="28"/>
      <c r="K342" s="28"/>
      <c r="N342" s="28"/>
    </row>
    <row r="343" spans="1:14" ht="14.25" customHeight="1" x14ac:dyDescent="0.3">
      <c r="A343" s="5"/>
      <c r="E343" s="28"/>
      <c r="H343" s="28"/>
      <c r="K343" s="28"/>
      <c r="N343" s="28"/>
    </row>
    <row r="344" spans="1:14" ht="14.25" customHeight="1" x14ac:dyDescent="0.3">
      <c r="A344" s="5"/>
      <c r="E344" s="28"/>
      <c r="H344" s="28"/>
      <c r="K344" s="28"/>
      <c r="N344" s="28"/>
    </row>
    <row r="345" spans="1:14" ht="14.25" customHeight="1" x14ac:dyDescent="0.3">
      <c r="A345" s="5"/>
      <c r="E345" s="28"/>
      <c r="H345" s="28"/>
      <c r="K345" s="28"/>
      <c r="N345" s="28"/>
    </row>
    <row r="346" spans="1:14" ht="14.25" customHeight="1" x14ac:dyDescent="0.3">
      <c r="A346" s="5"/>
      <c r="E346" s="28"/>
      <c r="H346" s="28"/>
      <c r="K346" s="28"/>
      <c r="N346" s="28"/>
    </row>
    <row r="347" spans="1:14" ht="14.25" customHeight="1" x14ac:dyDescent="0.3">
      <c r="A347" s="5"/>
      <c r="E347" s="28"/>
      <c r="H347" s="28"/>
      <c r="K347" s="28"/>
      <c r="N347" s="28"/>
    </row>
    <row r="348" spans="1:14" ht="14.25" customHeight="1" x14ac:dyDescent="0.3">
      <c r="A348" s="5"/>
      <c r="E348" s="28"/>
      <c r="H348" s="28"/>
      <c r="K348" s="28"/>
      <c r="N348" s="28"/>
    </row>
    <row r="349" spans="1:14" ht="14.25" customHeight="1" x14ac:dyDescent="0.3">
      <c r="A349" s="5"/>
      <c r="E349" s="28"/>
      <c r="H349" s="28"/>
      <c r="K349" s="28"/>
      <c r="N349" s="28"/>
    </row>
    <row r="350" spans="1:14" ht="14.25" customHeight="1" x14ac:dyDescent="0.3">
      <c r="A350" s="5"/>
      <c r="E350" s="28"/>
      <c r="H350" s="28"/>
      <c r="K350" s="28"/>
      <c r="N350" s="28"/>
    </row>
    <row r="351" spans="1:14" ht="14.25" customHeight="1" x14ac:dyDescent="0.3">
      <c r="A351" s="5"/>
      <c r="E351" s="28"/>
      <c r="H351" s="28"/>
      <c r="K351" s="28"/>
      <c r="N351" s="28"/>
    </row>
    <row r="352" spans="1:14" ht="14.25" customHeight="1" x14ac:dyDescent="0.3">
      <c r="A352" s="5"/>
      <c r="E352" s="28"/>
      <c r="H352" s="28"/>
      <c r="K352" s="28"/>
      <c r="N352" s="28"/>
    </row>
    <row r="353" spans="1:14" ht="14.25" customHeight="1" x14ac:dyDescent="0.3">
      <c r="A353" s="5"/>
      <c r="E353" s="28"/>
      <c r="H353" s="28"/>
      <c r="K353" s="28"/>
      <c r="N353" s="28"/>
    </row>
    <row r="354" spans="1:14" ht="14.25" customHeight="1" x14ac:dyDescent="0.3">
      <c r="A354" s="5"/>
      <c r="E354" s="28"/>
      <c r="H354" s="28"/>
      <c r="K354" s="28"/>
      <c r="N354" s="28"/>
    </row>
    <row r="355" spans="1:14" ht="14.25" customHeight="1" x14ac:dyDescent="0.3">
      <c r="A355" s="5"/>
      <c r="E355" s="28"/>
      <c r="H355" s="28"/>
      <c r="K355" s="28"/>
      <c r="N355" s="28"/>
    </row>
    <row r="356" spans="1:14" ht="14.25" customHeight="1" x14ac:dyDescent="0.3">
      <c r="A356" s="5"/>
      <c r="E356" s="28"/>
      <c r="H356" s="28"/>
      <c r="K356" s="28"/>
      <c r="N356" s="28"/>
    </row>
    <row r="357" spans="1:14" ht="14.25" customHeight="1" x14ac:dyDescent="0.3">
      <c r="A357" s="5"/>
      <c r="E357" s="28"/>
      <c r="H357" s="28"/>
      <c r="K357" s="28"/>
      <c r="N357" s="28"/>
    </row>
    <row r="358" spans="1:14" ht="14.25" customHeight="1" x14ac:dyDescent="0.3">
      <c r="A358" s="5"/>
      <c r="E358" s="28"/>
      <c r="H358" s="28"/>
      <c r="K358" s="28"/>
      <c r="N358" s="28"/>
    </row>
    <row r="359" spans="1:14" ht="14.25" customHeight="1" x14ac:dyDescent="0.3">
      <c r="A359" s="5"/>
      <c r="E359" s="28"/>
      <c r="H359" s="28"/>
      <c r="K359" s="28"/>
      <c r="N359" s="28"/>
    </row>
    <row r="360" spans="1:14" ht="14.25" customHeight="1" x14ac:dyDescent="0.3">
      <c r="A360" s="5"/>
      <c r="E360" s="28"/>
      <c r="H360" s="28"/>
      <c r="K360" s="28"/>
      <c r="N360" s="28"/>
    </row>
    <row r="361" spans="1:14" ht="14.25" customHeight="1" x14ac:dyDescent="0.3">
      <c r="A361" s="5"/>
      <c r="E361" s="28"/>
      <c r="H361" s="28"/>
      <c r="K361" s="28"/>
      <c r="N361" s="28"/>
    </row>
    <row r="362" spans="1:14" ht="14.25" customHeight="1" x14ac:dyDescent="0.3">
      <c r="A362" s="5"/>
      <c r="E362" s="28"/>
      <c r="H362" s="28"/>
      <c r="K362" s="28"/>
      <c r="N362" s="28"/>
    </row>
    <row r="363" spans="1:14" ht="14.25" customHeight="1" x14ac:dyDescent="0.3">
      <c r="A363" s="5"/>
      <c r="E363" s="28"/>
      <c r="H363" s="28"/>
      <c r="K363" s="28"/>
      <c r="N363" s="28"/>
    </row>
    <row r="364" spans="1:14" ht="14.25" customHeight="1" x14ac:dyDescent="0.3">
      <c r="A364" s="5"/>
      <c r="E364" s="28"/>
      <c r="H364" s="28"/>
      <c r="K364" s="28"/>
      <c r="N364" s="28"/>
    </row>
    <row r="365" spans="1:14" ht="14.25" customHeight="1" x14ac:dyDescent="0.3">
      <c r="A365" s="5"/>
      <c r="E365" s="28"/>
      <c r="H365" s="28"/>
      <c r="K365" s="28"/>
      <c r="N365" s="28"/>
    </row>
    <row r="366" spans="1:14" ht="14.25" customHeight="1" x14ac:dyDescent="0.3">
      <c r="A366" s="5"/>
      <c r="E366" s="28"/>
      <c r="H366" s="28"/>
      <c r="K366" s="28"/>
      <c r="N366" s="28"/>
    </row>
    <row r="367" spans="1:14" ht="14.25" customHeight="1" x14ac:dyDescent="0.3">
      <c r="A367" s="5"/>
      <c r="E367" s="28"/>
      <c r="H367" s="28"/>
      <c r="K367" s="28"/>
      <c r="N367" s="28"/>
    </row>
    <row r="368" spans="1:14" ht="14.25" customHeight="1" x14ac:dyDescent="0.3">
      <c r="A368" s="5"/>
      <c r="E368" s="28"/>
      <c r="H368" s="28"/>
      <c r="K368" s="28"/>
      <c r="N368" s="28"/>
    </row>
    <row r="369" spans="1:14" ht="14.25" customHeight="1" x14ac:dyDescent="0.3">
      <c r="A369" s="5"/>
      <c r="E369" s="28"/>
      <c r="H369" s="28"/>
      <c r="K369" s="28"/>
      <c r="N369" s="28"/>
    </row>
    <row r="370" spans="1:14" ht="14.25" customHeight="1" x14ac:dyDescent="0.3">
      <c r="A370" s="5"/>
      <c r="E370" s="28"/>
      <c r="H370" s="28"/>
      <c r="K370" s="28"/>
      <c r="N370" s="28"/>
    </row>
    <row r="371" spans="1:14" ht="14.25" customHeight="1" x14ac:dyDescent="0.3">
      <c r="A371" s="5"/>
      <c r="E371" s="28"/>
      <c r="H371" s="28"/>
      <c r="K371" s="28"/>
      <c r="N371" s="28"/>
    </row>
    <row r="372" spans="1:14" ht="14.25" customHeight="1" x14ac:dyDescent="0.3">
      <c r="A372" s="5"/>
      <c r="E372" s="28"/>
      <c r="H372" s="28"/>
      <c r="K372" s="28"/>
      <c r="N372" s="28"/>
    </row>
    <row r="373" spans="1:14" ht="14.25" customHeight="1" x14ac:dyDescent="0.3">
      <c r="A373" s="5"/>
      <c r="E373" s="28"/>
      <c r="H373" s="28"/>
      <c r="K373" s="28"/>
      <c r="N373" s="28"/>
    </row>
    <row r="374" spans="1:14" ht="14.25" customHeight="1" x14ac:dyDescent="0.3">
      <c r="A374" s="5"/>
      <c r="E374" s="28"/>
      <c r="H374" s="28"/>
      <c r="K374" s="28"/>
      <c r="N374" s="28"/>
    </row>
    <row r="375" spans="1:14" ht="14.25" customHeight="1" x14ac:dyDescent="0.3">
      <c r="A375" s="5"/>
      <c r="E375" s="28"/>
      <c r="H375" s="28"/>
      <c r="K375" s="28"/>
      <c r="N375" s="28"/>
    </row>
    <row r="376" spans="1:14" ht="14.25" customHeight="1" x14ac:dyDescent="0.3">
      <c r="A376" s="5"/>
      <c r="E376" s="28"/>
      <c r="H376" s="28"/>
      <c r="K376" s="28"/>
      <c r="N376" s="28"/>
    </row>
    <row r="377" spans="1:14" ht="14.25" customHeight="1" x14ac:dyDescent="0.3">
      <c r="A377" s="5"/>
      <c r="E377" s="28"/>
      <c r="H377" s="28"/>
      <c r="K377" s="28"/>
      <c r="N377" s="28"/>
    </row>
    <row r="378" spans="1:14" ht="14.25" customHeight="1" x14ac:dyDescent="0.3">
      <c r="A378" s="5"/>
      <c r="E378" s="28"/>
      <c r="H378" s="28"/>
      <c r="K378" s="28"/>
      <c r="N378" s="28"/>
    </row>
    <row r="379" spans="1:14" ht="14.25" customHeight="1" x14ac:dyDescent="0.3">
      <c r="A379" s="5"/>
      <c r="E379" s="28"/>
      <c r="H379" s="28"/>
      <c r="K379" s="28"/>
      <c r="N379" s="28"/>
    </row>
    <row r="380" spans="1:14" ht="14.25" customHeight="1" x14ac:dyDescent="0.3">
      <c r="A380" s="5"/>
      <c r="E380" s="28"/>
      <c r="H380" s="28"/>
      <c r="K380" s="28"/>
      <c r="N380" s="28"/>
    </row>
    <row r="381" spans="1:14" ht="14.25" customHeight="1" x14ac:dyDescent="0.3">
      <c r="A381" s="5"/>
      <c r="E381" s="28"/>
      <c r="H381" s="28"/>
      <c r="K381" s="28"/>
      <c r="N381" s="28"/>
    </row>
    <row r="382" spans="1:14" ht="14.25" customHeight="1" x14ac:dyDescent="0.3">
      <c r="A382" s="5"/>
      <c r="E382" s="28"/>
      <c r="H382" s="28"/>
      <c r="K382" s="28"/>
      <c r="N382" s="28"/>
    </row>
    <row r="383" spans="1:14" ht="14.25" customHeight="1" x14ac:dyDescent="0.3">
      <c r="A383" s="5"/>
      <c r="E383" s="28"/>
      <c r="H383" s="28"/>
      <c r="K383" s="28"/>
      <c r="N383" s="28"/>
    </row>
    <row r="384" spans="1:14" ht="14.25" customHeight="1" x14ac:dyDescent="0.3">
      <c r="A384" s="5"/>
      <c r="E384" s="28"/>
      <c r="H384" s="28"/>
      <c r="K384" s="28"/>
      <c r="N384" s="28"/>
    </row>
    <row r="385" spans="1:14" ht="14.25" customHeight="1" x14ac:dyDescent="0.3">
      <c r="A385" s="5"/>
      <c r="E385" s="28"/>
      <c r="H385" s="28"/>
      <c r="K385" s="28"/>
      <c r="N385" s="28"/>
    </row>
    <row r="386" spans="1:14" ht="14.25" customHeight="1" x14ac:dyDescent="0.3">
      <c r="A386" s="5"/>
      <c r="E386" s="28"/>
      <c r="H386" s="28"/>
      <c r="K386" s="28"/>
      <c r="N386" s="28"/>
    </row>
    <row r="387" spans="1:14" ht="14.25" customHeight="1" x14ac:dyDescent="0.3">
      <c r="A387" s="5"/>
      <c r="E387" s="28"/>
      <c r="H387" s="28"/>
      <c r="K387" s="28"/>
      <c r="N387" s="28"/>
    </row>
    <row r="388" spans="1:14" ht="14.25" customHeight="1" x14ac:dyDescent="0.3">
      <c r="A388" s="5"/>
      <c r="E388" s="28"/>
      <c r="H388" s="28"/>
      <c r="K388" s="28"/>
      <c r="N388" s="28"/>
    </row>
    <row r="389" spans="1:14" ht="14.25" customHeight="1" x14ac:dyDescent="0.3">
      <c r="A389" s="5"/>
      <c r="E389" s="28"/>
      <c r="H389" s="28"/>
      <c r="K389" s="28"/>
      <c r="N389" s="28"/>
    </row>
    <row r="390" spans="1:14" ht="14.25" customHeight="1" x14ac:dyDescent="0.3">
      <c r="A390" s="5"/>
      <c r="E390" s="28"/>
      <c r="H390" s="28"/>
      <c r="K390" s="28"/>
      <c r="N390" s="28"/>
    </row>
    <row r="391" spans="1:14" ht="14.25" customHeight="1" x14ac:dyDescent="0.3">
      <c r="A391" s="5"/>
      <c r="E391" s="28"/>
      <c r="H391" s="28"/>
      <c r="K391" s="28"/>
      <c r="N391" s="28"/>
    </row>
    <row r="392" spans="1:14" ht="14.25" customHeight="1" x14ac:dyDescent="0.3">
      <c r="A392" s="5"/>
      <c r="E392" s="28"/>
      <c r="H392" s="28"/>
      <c r="K392" s="28"/>
      <c r="N392" s="28"/>
    </row>
    <row r="393" spans="1:14" ht="14.25" customHeight="1" x14ac:dyDescent="0.3">
      <c r="A393" s="5"/>
      <c r="E393" s="28"/>
      <c r="H393" s="28"/>
      <c r="K393" s="28"/>
      <c r="N393" s="28"/>
    </row>
    <row r="394" spans="1:14" ht="14.25" customHeight="1" x14ac:dyDescent="0.3">
      <c r="A394" s="5"/>
      <c r="E394" s="28"/>
      <c r="H394" s="28"/>
      <c r="K394" s="28"/>
      <c r="N394" s="28"/>
    </row>
    <row r="395" spans="1:14" ht="14.25" customHeight="1" x14ac:dyDescent="0.3">
      <c r="A395" s="5"/>
      <c r="E395" s="28"/>
      <c r="H395" s="28"/>
      <c r="K395" s="28"/>
      <c r="N395" s="28"/>
    </row>
    <row r="396" spans="1:14" ht="14.25" customHeight="1" x14ac:dyDescent="0.3">
      <c r="A396" s="5"/>
      <c r="E396" s="28"/>
      <c r="H396" s="28"/>
      <c r="K396" s="28"/>
      <c r="N396" s="28"/>
    </row>
    <row r="397" spans="1:14" ht="14.25" customHeight="1" x14ac:dyDescent="0.3">
      <c r="A397" s="5"/>
      <c r="E397" s="28"/>
      <c r="H397" s="28"/>
      <c r="K397" s="28"/>
      <c r="N397" s="28"/>
    </row>
    <row r="398" spans="1:14" ht="14.25" customHeight="1" x14ac:dyDescent="0.3">
      <c r="A398" s="5"/>
      <c r="E398" s="28"/>
      <c r="H398" s="28"/>
      <c r="K398" s="28"/>
      <c r="N398" s="28"/>
    </row>
    <row r="399" spans="1:14" ht="14.25" customHeight="1" x14ac:dyDescent="0.3">
      <c r="A399" s="5"/>
      <c r="E399" s="28"/>
      <c r="H399" s="28"/>
      <c r="K399" s="28"/>
      <c r="N399" s="28"/>
    </row>
    <row r="400" spans="1:14" ht="14.25" customHeight="1" x14ac:dyDescent="0.3">
      <c r="A400" s="5"/>
      <c r="E400" s="28"/>
      <c r="H400" s="28"/>
      <c r="K400" s="28"/>
      <c r="N400" s="28"/>
    </row>
    <row r="401" spans="1:14" ht="14.25" customHeight="1" x14ac:dyDescent="0.3">
      <c r="A401" s="5"/>
      <c r="E401" s="28"/>
      <c r="H401" s="28"/>
      <c r="K401" s="28"/>
      <c r="N401" s="28"/>
    </row>
    <row r="402" spans="1:14" ht="14.25" customHeight="1" x14ac:dyDescent="0.3">
      <c r="A402" s="5"/>
      <c r="E402" s="28"/>
      <c r="H402" s="28"/>
      <c r="K402" s="28"/>
      <c r="N402" s="28"/>
    </row>
    <row r="403" spans="1:14" ht="14.25" customHeight="1" x14ac:dyDescent="0.3">
      <c r="A403" s="5"/>
      <c r="E403" s="28"/>
      <c r="H403" s="28"/>
      <c r="K403" s="28"/>
      <c r="N403" s="28"/>
    </row>
    <row r="404" spans="1:14" ht="14.25" customHeight="1" x14ac:dyDescent="0.3">
      <c r="A404" s="5"/>
      <c r="E404" s="28"/>
      <c r="H404" s="28"/>
      <c r="K404" s="28"/>
      <c r="N404" s="28"/>
    </row>
    <row r="405" spans="1:14" ht="14.25" customHeight="1" x14ac:dyDescent="0.3">
      <c r="A405" s="5"/>
      <c r="E405" s="28"/>
      <c r="H405" s="28"/>
      <c r="K405" s="28"/>
      <c r="N405" s="28"/>
    </row>
    <row r="406" spans="1:14" ht="14.25" customHeight="1" x14ac:dyDescent="0.3">
      <c r="A406" s="5"/>
      <c r="E406" s="28"/>
      <c r="H406" s="28"/>
      <c r="K406" s="28"/>
      <c r="N406" s="28"/>
    </row>
    <row r="407" spans="1:14" ht="14.25" customHeight="1" x14ac:dyDescent="0.3">
      <c r="A407" s="5"/>
      <c r="E407" s="28"/>
      <c r="H407" s="28"/>
      <c r="K407" s="28"/>
      <c r="N407" s="28"/>
    </row>
    <row r="408" spans="1:14" ht="14.25" customHeight="1" x14ac:dyDescent="0.3">
      <c r="A408" s="5"/>
      <c r="E408" s="28"/>
      <c r="H408" s="28"/>
      <c r="K408" s="28"/>
      <c r="N408" s="28"/>
    </row>
    <row r="409" spans="1:14" ht="14.25" customHeight="1" x14ac:dyDescent="0.3">
      <c r="A409" s="5"/>
      <c r="E409" s="28"/>
      <c r="H409" s="28"/>
      <c r="K409" s="28"/>
      <c r="N409" s="28"/>
    </row>
    <row r="410" spans="1:14" ht="14.25" customHeight="1" x14ac:dyDescent="0.3">
      <c r="A410" s="5"/>
      <c r="E410" s="28"/>
      <c r="H410" s="28"/>
      <c r="K410" s="28"/>
      <c r="N410" s="28"/>
    </row>
    <row r="411" spans="1:14" ht="14.25" customHeight="1" x14ac:dyDescent="0.3">
      <c r="A411" s="5"/>
      <c r="E411" s="28"/>
      <c r="H411" s="28"/>
      <c r="K411" s="28"/>
      <c r="N411" s="28"/>
    </row>
    <row r="412" spans="1:14" ht="14.25" customHeight="1" x14ac:dyDescent="0.3">
      <c r="A412" s="5"/>
      <c r="E412" s="28"/>
      <c r="H412" s="28"/>
      <c r="K412" s="28"/>
      <c r="N412" s="28"/>
    </row>
    <row r="413" spans="1:14" ht="14.25" customHeight="1" x14ac:dyDescent="0.3">
      <c r="A413" s="5"/>
      <c r="E413" s="28"/>
      <c r="H413" s="28"/>
      <c r="K413" s="28"/>
      <c r="N413" s="28"/>
    </row>
    <row r="414" spans="1:14" ht="14.25" customHeight="1" x14ac:dyDescent="0.3">
      <c r="A414" s="5"/>
      <c r="E414" s="28"/>
      <c r="H414" s="28"/>
      <c r="K414" s="28"/>
      <c r="N414" s="28"/>
    </row>
    <row r="415" spans="1:14" ht="14.25" customHeight="1" x14ac:dyDescent="0.3">
      <c r="A415" s="5"/>
      <c r="E415" s="28"/>
      <c r="H415" s="28"/>
      <c r="K415" s="28"/>
      <c r="N415" s="28"/>
    </row>
    <row r="416" spans="1:14" ht="14.25" customHeight="1" x14ac:dyDescent="0.3">
      <c r="A416" s="5"/>
      <c r="E416" s="28"/>
      <c r="H416" s="28"/>
      <c r="K416" s="28"/>
      <c r="N416" s="28"/>
    </row>
    <row r="417" spans="1:14" ht="14.25" customHeight="1" x14ac:dyDescent="0.3">
      <c r="A417" s="5"/>
      <c r="E417" s="28"/>
      <c r="H417" s="28"/>
      <c r="K417" s="28"/>
      <c r="N417" s="28"/>
    </row>
    <row r="418" spans="1:14" ht="14.25" customHeight="1" x14ac:dyDescent="0.3">
      <c r="A418" s="5"/>
      <c r="E418" s="28"/>
      <c r="H418" s="28"/>
      <c r="K418" s="28"/>
      <c r="N418" s="28"/>
    </row>
    <row r="419" spans="1:14" ht="14.25" customHeight="1" x14ac:dyDescent="0.3">
      <c r="A419" s="5"/>
      <c r="E419" s="28"/>
      <c r="H419" s="28"/>
      <c r="K419" s="28"/>
      <c r="N419" s="28"/>
    </row>
    <row r="420" spans="1:14" ht="14.25" customHeight="1" x14ac:dyDescent="0.3">
      <c r="A420" s="5"/>
      <c r="E420" s="28"/>
      <c r="H420" s="28"/>
      <c r="K420" s="28"/>
      <c r="N420" s="28"/>
    </row>
    <row r="421" spans="1:14" ht="14.25" customHeight="1" x14ac:dyDescent="0.3">
      <c r="A421" s="5"/>
      <c r="E421" s="28"/>
      <c r="H421" s="28"/>
      <c r="K421" s="28"/>
      <c r="N421" s="28"/>
    </row>
    <row r="422" spans="1:14" ht="14.25" customHeight="1" x14ac:dyDescent="0.3">
      <c r="A422" s="5"/>
      <c r="E422" s="28"/>
      <c r="H422" s="28"/>
      <c r="K422" s="28"/>
      <c r="N422" s="28"/>
    </row>
    <row r="423" spans="1:14" ht="14.25" customHeight="1" x14ac:dyDescent="0.3">
      <c r="A423" s="5"/>
      <c r="E423" s="28"/>
      <c r="H423" s="28"/>
      <c r="K423" s="28"/>
      <c r="N423" s="28"/>
    </row>
    <row r="424" spans="1:14" ht="14.25" customHeight="1" x14ac:dyDescent="0.3">
      <c r="A424" s="5"/>
      <c r="E424" s="28"/>
      <c r="H424" s="28"/>
      <c r="K424" s="28"/>
      <c r="N424" s="28"/>
    </row>
    <row r="425" spans="1:14" ht="14.25" customHeight="1" x14ac:dyDescent="0.3">
      <c r="A425" s="5"/>
      <c r="E425" s="28"/>
      <c r="H425" s="28"/>
      <c r="K425" s="28"/>
      <c r="N425" s="28"/>
    </row>
    <row r="426" spans="1:14" ht="14.25" customHeight="1" x14ac:dyDescent="0.3">
      <c r="A426" s="5"/>
      <c r="E426" s="28"/>
      <c r="H426" s="28"/>
      <c r="K426" s="28"/>
      <c r="N426" s="28"/>
    </row>
    <row r="427" spans="1:14" ht="14.25" customHeight="1" x14ac:dyDescent="0.3">
      <c r="A427" s="5"/>
      <c r="E427" s="28"/>
      <c r="H427" s="28"/>
      <c r="K427" s="28"/>
      <c r="N427" s="28"/>
    </row>
    <row r="428" spans="1:14" ht="14.25" customHeight="1" x14ac:dyDescent="0.3">
      <c r="A428" s="5"/>
      <c r="E428" s="28"/>
      <c r="H428" s="28"/>
      <c r="K428" s="28"/>
      <c r="N428" s="28"/>
    </row>
    <row r="429" spans="1:14" ht="14.25" customHeight="1" x14ac:dyDescent="0.3">
      <c r="A429" s="5"/>
      <c r="E429" s="28"/>
      <c r="H429" s="28"/>
      <c r="K429" s="28"/>
      <c r="N429" s="28"/>
    </row>
    <row r="430" spans="1:14" ht="14.25" customHeight="1" x14ac:dyDescent="0.3">
      <c r="A430" s="5"/>
      <c r="E430" s="28"/>
      <c r="H430" s="28"/>
      <c r="K430" s="28"/>
      <c r="N430" s="28"/>
    </row>
    <row r="431" spans="1:14" ht="14.25" customHeight="1" x14ac:dyDescent="0.3">
      <c r="A431" s="5"/>
      <c r="E431" s="28"/>
      <c r="H431" s="28"/>
      <c r="K431" s="28"/>
      <c r="N431" s="28"/>
    </row>
    <row r="432" spans="1:14" ht="14.25" customHeight="1" x14ac:dyDescent="0.3">
      <c r="A432" s="5"/>
      <c r="E432" s="28"/>
      <c r="H432" s="28"/>
      <c r="K432" s="28"/>
      <c r="N432" s="28"/>
    </row>
    <row r="433" spans="1:14" ht="14.25" customHeight="1" x14ac:dyDescent="0.3">
      <c r="A433" s="5"/>
      <c r="E433" s="28"/>
      <c r="H433" s="28"/>
      <c r="K433" s="28"/>
      <c r="N433" s="28"/>
    </row>
    <row r="434" spans="1:14" ht="14.25" customHeight="1" x14ac:dyDescent="0.3">
      <c r="A434" s="5"/>
      <c r="E434" s="28"/>
      <c r="H434" s="28"/>
      <c r="K434" s="28"/>
      <c r="N434" s="28"/>
    </row>
    <row r="435" spans="1:14" ht="14.25" customHeight="1" x14ac:dyDescent="0.3">
      <c r="A435" s="5"/>
      <c r="E435" s="28"/>
      <c r="H435" s="28"/>
      <c r="K435" s="28"/>
      <c r="N435" s="28"/>
    </row>
    <row r="436" spans="1:14" ht="14.25" customHeight="1" x14ac:dyDescent="0.3">
      <c r="A436" s="5"/>
      <c r="E436" s="28"/>
      <c r="H436" s="28"/>
      <c r="K436" s="28"/>
      <c r="N436" s="28"/>
    </row>
    <row r="437" spans="1:14" ht="14.25" customHeight="1" x14ac:dyDescent="0.3">
      <c r="A437" s="5"/>
      <c r="E437" s="28"/>
      <c r="H437" s="28"/>
      <c r="K437" s="28"/>
      <c r="N437" s="28"/>
    </row>
    <row r="438" spans="1:14" ht="14.25" customHeight="1" x14ac:dyDescent="0.3">
      <c r="A438" s="5"/>
      <c r="E438" s="28"/>
      <c r="H438" s="28"/>
      <c r="K438" s="28"/>
      <c r="N438" s="28"/>
    </row>
    <row r="439" spans="1:14" ht="14.25" customHeight="1" x14ac:dyDescent="0.3">
      <c r="A439" s="5"/>
      <c r="E439" s="28"/>
      <c r="H439" s="28"/>
      <c r="K439" s="28"/>
      <c r="N439" s="28"/>
    </row>
    <row r="440" spans="1:14" ht="14.25" customHeight="1" x14ac:dyDescent="0.3">
      <c r="A440" s="5"/>
      <c r="E440" s="28"/>
      <c r="H440" s="28"/>
      <c r="K440" s="28"/>
      <c r="N440" s="28"/>
    </row>
    <row r="441" spans="1:14" ht="14.25" customHeight="1" x14ac:dyDescent="0.3">
      <c r="A441" s="5"/>
      <c r="E441" s="28"/>
      <c r="H441" s="28"/>
      <c r="K441" s="28"/>
      <c r="N441" s="28"/>
    </row>
    <row r="442" spans="1:14" ht="14.25" customHeight="1" x14ac:dyDescent="0.3">
      <c r="A442" s="5"/>
      <c r="E442" s="28"/>
      <c r="H442" s="28"/>
      <c r="K442" s="28"/>
      <c r="N442" s="28"/>
    </row>
    <row r="443" spans="1:14" ht="14.25" customHeight="1" x14ac:dyDescent="0.3">
      <c r="A443" s="5"/>
      <c r="E443" s="28"/>
      <c r="H443" s="28"/>
      <c r="K443" s="28"/>
      <c r="N443" s="28"/>
    </row>
    <row r="444" spans="1:14" ht="14.25" customHeight="1" x14ac:dyDescent="0.3">
      <c r="A444" s="5"/>
      <c r="E444" s="28"/>
      <c r="H444" s="28"/>
      <c r="K444" s="28"/>
      <c r="N444" s="28"/>
    </row>
    <row r="445" spans="1:14" ht="14.25" customHeight="1" x14ac:dyDescent="0.3">
      <c r="A445" s="5"/>
      <c r="E445" s="28"/>
      <c r="H445" s="28"/>
      <c r="K445" s="28"/>
      <c r="N445" s="28"/>
    </row>
    <row r="446" spans="1:14" ht="14.25" customHeight="1" x14ac:dyDescent="0.3">
      <c r="A446" s="5"/>
      <c r="E446" s="28"/>
      <c r="H446" s="28"/>
      <c r="K446" s="28"/>
      <c r="N446" s="28"/>
    </row>
    <row r="447" spans="1:14" ht="14.25" customHeight="1" x14ac:dyDescent="0.3">
      <c r="A447" s="5"/>
      <c r="E447" s="28"/>
      <c r="H447" s="28"/>
      <c r="K447" s="28"/>
      <c r="N447" s="28"/>
    </row>
    <row r="448" spans="1:14" ht="14.25" customHeight="1" x14ac:dyDescent="0.3">
      <c r="A448" s="5"/>
      <c r="E448" s="28"/>
      <c r="H448" s="28"/>
      <c r="K448" s="28"/>
      <c r="N448" s="28"/>
    </row>
    <row r="449" spans="1:14" ht="14.25" customHeight="1" x14ac:dyDescent="0.3">
      <c r="A449" s="5"/>
      <c r="E449" s="28"/>
      <c r="H449" s="28"/>
      <c r="K449" s="28"/>
      <c r="N449" s="28"/>
    </row>
    <row r="450" spans="1:14" ht="14.25" customHeight="1" x14ac:dyDescent="0.3">
      <c r="A450" s="5"/>
      <c r="E450" s="28"/>
      <c r="H450" s="28"/>
      <c r="K450" s="28"/>
      <c r="N450" s="28"/>
    </row>
    <row r="451" spans="1:14" ht="14.25" customHeight="1" x14ac:dyDescent="0.3">
      <c r="A451" s="5"/>
      <c r="E451" s="28"/>
      <c r="H451" s="28"/>
      <c r="K451" s="28"/>
      <c r="N451" s="28"/>
    </row>
    <row r="452" spans="1:14" ht="14.25" customHeight="1" x14ac:dyDescent="0.3">
      <c r="A452" s="5"/>
      <c r="E452" s="28"/>
      <c r="H452" s="28"/>
      <c r="K452" s="28"/>
      <c r="N452" s="28"/>
    </row>
    <row r="453" spans="1:14" ht="14.25" customHeight="1" x14ac:dyDescent="0.3">
      <c r="A453" s="5"/>
      <c r="E453" s="28"/>
      <c r="H453" s="28"/>
      <c r="K453" s="28"/>
      <c r="N453" s="28"/>
    </row>
    <row r="454" spans="1:14" ht="14.25" customHeight="1" x14ac:dyDescent="0.3">
      <c r="A454" s="5"/>
      <c r="E454" s="28"/>
      <c r="H454" s="28"/>
      <c r="K454" s="28"/>
      <c r="N454" s="28"/>
    </row>
    <row r="455" spans="1:14" ht="14.25" customHeight="1" x14ac:dyDescent="0.3">
      <c r="A455" s="5"/>
      <c r="E455" s="28"/>
      <c r="H455" s="28"/>
      <c r="K455" s="28"/>
      <c r="N455" s="28"/>
    </row>
    <row r="456" spans="1:14" ht="14.25" customHeight="1" x14ac:dyDescent="0.3">
      <c r="A456" s="5"/>
      <c r="E456" s="28"/>
      <c r="H456" s="28"/>
      <c r="K456" s="28"/>
      <c r="N456" s="28"/>
    </row>
    <row r="457" spans="1:14" ht="14.25" customHeight="1" x14ac:dyDescent="0.3">
      <c r="A457" s="5"/>
      <c r="E457" s="28"/>
      <c r="H457" s="28"/>
      <c r="K457" s="28"/>
      <c r="N457" s="28"/>
    </row>
    <row r="458" spans="1:14" ht="14.25" customHeight="1" x14ac:dyDescent="0.3">
      <c r="A458" s="5"/>
      <c r="E458" s="28"/>
      <c r="H458" s="28"/>
      <c r="K458" s="28"/>
      <c r="N458" s="28"/>
    </row>
    <row r="459" spans="1:14" ht="14.25" customHeight="1" x14ac:dyDescent="0.3">
      <c r="A459" s="5"/>
      <c r="E459" s="28"/>
      <c r="H459" s="28"/>
      <c r="K459" s="28"/>
      <c r="N459" s="28"/>
    </row>
    <row r="460" spans="1:14" ht="14.25" customHeight="1" x14ac:dyDescent="0.3">
      <c r="A460" s="5"/>
      <c r="E460" s="28"/>
      <c r="H460" s="28"/>
      <c r="K460" s="28"/>
      <c r="N460" s="28"/>
    </row>
    <row r="461" spans="1:14" ht="14.25" customHeight="1" x14ac:dyDescent="0.3">
      <c r="A461" s="5"/>
      <c r="E461" s="28"/>
      <c r="H461" s="28"/>
      <c r="K461" s="28"/>
      <c r="N461" s="28"/>
    </row>
    <row r="462" spans="1:14" ht="14.25" customHeight="1" x14ac:dyDescent="0.3">
      <c r="A462" s="5"/>
      <c r="E462" s="28"/>
      <c r="H462" s="28"/>
      <c r="K462" s="28"/>
      <c r="N462" s="28"/>
    </row>
    <row r="463" spans="1:14" ht="14.25" customHeight="1" x14ac:dyDescent="0.3">
      <c r="A463" s="5"/>
      <c r="E463" s="28"/>
      <c r="H463" s="28"/>
      <c r="K463" s="28"/>
      <c r="N463" s="28"/>
    </row>
    <row r="464" spans="1:14" ht="14.25" customHeight="1" x14ac:dyDescent="0.3">
      <c r="A464" s="5"/>
      <c r="E464" s="28"/>
      <c r="H464" s="28"/>
      <c r="K464" s="28"/>
      <c r="N464" s="28"/>
    </row>
    <row r="465" spans="1:14" ht="14.25" customHeight="1" x14ac:dyDescent="0.3">
      <c r="A465" s="5"/>
      <c r="E465" s="28"/>
      <c r="H465" s="28"/>
      <c r="K465" s="28"/>
      <c r="N465" s="28"/>
    </row>
    <row r="466" spans="1:14" ht="14.25" customHeight="1" x14ac:dyDescent="0.3">
      <c r="A466" s="5"/>
      <c r="E466" s="28"/>
      <c r="H466" s="28"/>
      <c r="K466" s="28"/>
      <c r="N466" s="28"/>
    </row>
    <row r="467" spans="1:14" ht="14.25" customHeight="1" x14ac:dyDescent="0.3">
      <c r="A467" s="5"/>
      <c r="E467" s="28"/>
      <c r="H467" s="28"/>
      <c r="K467" s="28"/>
      <c r="N467" s="28"/>
    </row>
    <row r="468" spans="1:14" ht="14.25" customHeight="1" x14ac:dyDescent="0.3">
      <c r="A468" s="5"/>
      <c r="E468" s="28"/>
      <c r="H468" s="28"/>
      <c r="K468" s="28"/>
      <c r="N468" s="28"/>
    </row>
    <row r="469" spans="1:14" ht="14.25" customHeight="1" x14ac:dyDescent="0.3">
      <c r="A469" s="5"/>
      <c r="E469" s="28"/>
      <c r="H469" s="28"/>
      <c r="K469" s="28"/>
      <c r="N469" s="28"/>
    </row>
    <row r="470" spans="1:14" ht="14.25" customHeight="1" x14ac:dyDescent="0.3">
      <c r="A470" s="5"/>
      <c r="E470" s="28"/>
      <c r="H470" s="28"/>
      <c r="K470" s="28"/>
      <c r="N470" s="28"/>
    </row>
    <row r="471" spans="1:14" ht="14.25" customHeight="1" x14ac:dyDescent="0.3">
      <c r="A471" s="5"/>
      <c r="E471" s="28"/>
      <c r="H471" s="28"/>
      <c r="K471" s="28"/>
      <c r="N471" s="28"/>
    </row>
    <row r="472" spans="1:14" ht="14.25" customHeight="1" x14ac:dyDescent="0.3">
      <c r="A472" s="5"/>
      <c r="E472" s="28"/>
      <c r="H472" s="28"/>
      <c r="K472" s="28"/>
      <c r="N472" s="28"/>
    </row>
    <row r="473" spans="1:14" ht="14.25" customHeight="1" x14ac:dyDescent="0.3">
      <c r="A473" s="5"/>
      <c r="E473" s="28"/>
      <c r="H473" s="28"/>
      <c r="K473" s="28"/>
      <c r="N473" s="28"/>
    </row>
    <row r="474" spans="1:14" ht="14.25" customHeight="1" x14ac:dyDescent="0.3">
      <c r="A474" s="5"/>
      <c r="E474" s="28"/>
      <c r="H474" s="28"/>
      <c r="K474" s="28"/>
      <c r="N474" s="28"/>
    </row>
    <row r="475" spans="1:14" ht="14.25" customHeight="1" x14ac:dyDescent="0.3">
      <c r="A475" s="5"/>
      <c r="E475" s="28"/>
      <c r="H475" s="28"/>
      <c r="K475" s="28"/>
      <c r="N475" s="28"/>
    </row>
    <row r="476" spans="1:14" ht="14.25" customHeight="1" x14ac:dyDescent="0.3">
      <c r="A476" s="5"/>
      <c r="E476" s="28"/>
      <c r="H476" s="28"/>
      <c r="K476" s="28"/>
      <c r="N476" s="28"/>
    </row>
    <row r="477" spans="1:14" ht="14.25" customHeight="1" x14ac:dyDescent="0.3">
      <c r="A477" s="5"/>
      <c r="E477" s="28"/>
      <c r="H477" s="28"/>
      <c r="K477" s="28"/>
      <c r="N477" s="28"/>
    </row>
    <row r="478" spans="1:14" ht="14.25" customHeight="1" x14ac:dyDescent="0.3">
      <c r="A478" s="5"/>
      <c r="E478" s="28"/>
      <c r="H478" s="28"/>
      <c r="K478" s="28"/>
      <c r="N478" s="28"/>
    </row>
    <row r="479" spans="1:14" ht="14.25" customHeight="1" x14ac:dyDescent="0.3">
      <c r="A479" s="5"/>
      <c r="E479" s="28"/>
      <c r="H479" s="28"/>
      <c r="K479" s="28"/>
      <c r="N479" s="28"/>
    </row>
    <row r="480" spans="1:14" ht="14.25" customHeight="1" x14ac:dyDescent="0.3">
      <c r="A480" s="5"/>
      <c r="E480" s="28"/>
      <c r="H480" s="28"/>
      <c r="K480" s="28"/>
      <c r="N480" s="28"/>
    </row>
    <row r="481" spans="1:14" ht="14.25" customHeight="1" x14ac:dyDescent="0.3">
      <c r="A481" s="5"/>
      <c r="E481" s="28"/>
      <c r="H481" s="28"/>
      <c r="K481" s="28"/>
      <c r="N481" s="28"/>
    </row>
    <row r="482" spans="1:14" ht="14.25" customHeight="1" x14ac:dyDescent="0.3">
      <c r="A482" s="5"/>
      <c r="E482" s="28"/>
      <c r="H482" s="28"/>
      <c r="K482" s="28"/>
      <c r="N482" s="28"/>
    </row>
    <row r="483" spans="1:14" ht="14.25" customHeight="1" x14ac:dyDescent="0.3">
      <c r="A483" s="5"/>
      <c r="E483" s="28"/>
      <c r="H483" s="28"/>
      <c r="K483" s="28"/>
      <c r="N483" s="28"/>
    </row>
    <row r="484" spans="1:14" ht="14.25" customHeight="1" x14ac:dyDescent="0.3">
      <c r="A484" s="5"/>
      <c r="E484" s="28"/>
      <c r="H484" s="28"/>
      <c r="K484" s="28"/>
      <c r="N484" s="28"/>
    </row>
    <row r="485" spans="1:14" ht="14.25" customHeight="1" x14ac:dyDescent="0.3">
      <c r="A485" s="5"/>
      <c r="E485" s="28"/>
      <c r="H485" s="28"/>
      <c r="K485" s="28"/>
      <c r="N485" s="28"/>
    </row>
    <row r="486" spans="1:14" ht="14.25" customHeight="1" x14ac:dyDescent="0.3">
      <c r="A486" s="5"/>
      <c r="E486" s="28"/>
      <c r="H486" s="28"/>
      <c r="K486" s="28"/>
      <c r="N486" s="28"/>
    </row>
    <row r="487" spans="1:14" ht="14.25" customHeight="1" x14ac:dyDescent="0.3">
      <c r="A487" s="5"/>
      <c r="E487" s="28"/>
      <c r="H487" s="28"/>
      <c r="K487" s="28"/>
      <c r="N487" s="28"/>
    </row>
    <row r="488" spans="1:14" ht="14.25" customHeight="1" x14ac:dyDescent="0.3">
      <c r="A488" s="5"/>
      <c r="E488" s="28"/>
      <c r="H488" s="28"/>
      <c r="K488" s="28"/>
      <c r="N488" s="28"/>
    </row>
    <row r="489" spans="1:14" ht="14.25" customHeight="1" x14ac:dyDescent="0.3">
      <c r="A489" s="5"/>
      <c r="E489" s="28"/>
      <c r="H489" s="28"/>
      <c r="K489" s="28"/>
      <c r="N489" s="28"/>
    </row>
    <row r="490" spans="1:14" ht="14.25" customHeight="1" x14ac:dyDescent="0.3">
      <c r="A490" s="5"/>
      <c r="E490" s="28"/>
      <c r="H490" s="28"/>
      <c r="K490" s="28"/>
      <c r="N490" s="28"/>
    </row>
    <row r="491" spans="1:14" ht="14.25" customHeight="1" x14ac:dyDescent="0.3">
      <c r="A491" s="5"/>
      <c r="E491" s="28"/>
      <c r="H491" s="28"/>
      <c r="K491" s="28"/>
      <c r="N491" s="28"/>
    </row>
    <row r="492" spans="1:14" ht="14.25" customHeight="1" x14ac:dyDescent="0.3">
      <c r="A492" s="5"/>
      <c r="E492" s="28"/>
      <c r="H492" s="28"/>
      <c r="K492" s="28"/>
      <c r="N492" s="28"/>
    </row>
    <row r="493" spans="1:14" ht="14.25" customHeight="1" x14ac:dyDescent="0.3">
      <c r="A493" s="5"/>
      <c r="E493" s="28"/>
      <c r="H493" s="28"/>
      <c r="K493" s="28"/>
      <c r="N493" s="28"/>
    </row>
    <row r="494" spans="1:14" ht="14.25" customHeight="1" x14ac:dyDescent="0.3">
      <c r="A494" s="5"/>
      <c r="E494" s="28"/>
      <c r="H494" s="28"/>
      <c r="K494" s="28"/>
      <c r="N494" s="28"/>
    </row>
    <row r="495" spans="1:14" ht="14.25" customHeight="1" x14ac:dyDescent="0.3">
      <c r="A495" s="5"/>
      <c r="E495" s="28"/>
      <c r="H495" s="28"/>
      <c r="K495" s="28"/>
      <c r="N495" s="28"/>
    </row>
    <row r="496" spans="1:14" ht="14.25" customHeight="1" x14ac:dyDescent="0.3">
      <c r="A496" s="5"/>
      <c r="E496" s="28"/>
      <c r="H496" s="28"/>
      <c r="K496" s="28"/>
      <c r="N496" s="28"/>
    </row>
    <row r="497" spans="1:14" ht="14.25" customHeight="1" x14ac:dyDescent="0.3">
      <c r="A497" s="5"/>
      <c r="E497" s="28"/>
      <c r="H497" s="28"/>
      <c r="K497" s="28"/>
      <c r="N497" s="28"/>
    </row>
    <row r="498" spans="1:14" ht="14.25" customHeight="1" x14ac:dyDescent="0.3">
      <c r="A498" s="5"/>
      <c r="E498" s="28"/>
      <c r="H498" s="28"/>
      <c r="K498" s="28"/>
      <c r="N498" s="28"/>
    </row>
    <row r="499" spans="1:14" ht="14.25" customHeight="1" x14ac:dyDescent="0.3">
      <c r="A499" s="5"/>
      <c r="E499" s="28"/>
      <c r="H499" s="28"/>
      <c r="K499" s="28"/>
      <c r="N499" s="28"/>
    </row>
    <row r="500" spans="1:14" ht="14.25" customHeight="1" x14ac:dyDescent="0.3">
      <c r="A500" s="5"/>
      <c r="E500" s="28"/>
      <c r="H500" s="28"/>
      <c r="K500" s="28"/>
      <c r="N500" s="28"/>
    </row>
    <row r="501" spans="1:14" ht="14.25" customHeight="1" x14ac:dyDescent="0.3">
      <c r="A501" s="5"/>
      <c r="E501" s="28"/>
      <c r="H501" s="28"/>
      <c r="K501" s="28"/>
      <c r="N501" s="28"/>
    </row>
    <row r="502" spans="1:14" ht="14.25" customHeight="1" x14ac:dyDescent="0.3">
      <c r="A502" s="5"/>
      <c r="E502" s="28"/>
      <c r="H502" s="28"/>
      <c r="K502" s="28"/>
      <c r="N502" s="28"/>
    </row>
    <row r="503" spans="1:14" ht="14.25" customHeight="1" x14ac:dyDescent="0.3">
      <c r="A503" s="5"/>
      <c r="E503" s="28"/>
      <c r="H503" s="28"/>
      <c r="K503" s="28"/>
      <c r="N503" s="28"/>
    </row>
    <row r="504" spans="1:14" ht="14.25" customHeight="1" x14ac:dyDescent="0.3">
      <c r="A504" s="5"/>
      <c r="E504" s="28"/>
      <c r="H504" s="28"/>
      <c r="K504" s="28"/>
      <c r="N504" s="28"/>
    </row>
    <row r="505" spans="1:14" ht="14.25" customHeight="1" x14ac:dyDescent="0.3">
      <c r="A505" s="5"/>
      <c r="E505" s="28"/>
      <c r="H505" s="28"/>
      <c r="K505" s="28"/>
      <c r="N505" s="28"/>
    </row>
    <row r="506" spans="1:14" ht="14.25" customHeight="1" x14ac:dyDescent="0.3">
      <c r="A506" s="5"/>
      <c r="E506" s="28"/>
      <c r="H506" s="28"/>
      <c r="K506" s="28"/>
      <c r="N506" s="28"/>
    </row>
    <row r="507" spans="1:14" ht="14.25" customHeight="1" x14ac:dyDescent="0.3">
      <c r="A507" s="5"/>
      <c r="E507" s="28"/>
      <c r="H507" s="28"/>
      <c r="K507" s="28"/>
      <c r="N507" s="28"/>
    </row>
    <row r="508" spans="1:14" ht="14.25" customHeight="1" x14ac:dyDescent="0.3">
      <c r="A508" s="5"/>
      <c r="E508" s="28"/>
      <c r="H508" s="28"/>
      <c r="K508" s="28"/>
      <c r="N508" s="28"/>
    </row>
    <row r="509" spans="1:14" ht="14.25" customHeight="1" x14ac:dyDescent="0.3">
      <c r="A509" s="5"/>
      <c r="E509" s="28"/>
      <c r="H509" s="28"/>
      <c r="K509" s="28"/>
      <c r="N509" s="28"/>
    </row>
    <row r="510" spans="1:14" ht="14.25" customHeight="1" x14ac:dyDescent="0.3">
      <c r="A510" s="5"/>
      <c r="E510" s="28"/>
      <c r="H510" s="28"/>
      <c r="K510" s="28"/>
      <c r="N510" s="28"/>
    </row>
    <row r="511" spans="1:14" ht="14.25" customHeight="1" x14ac:dyDescent="0.3">
      <c r="A511" s="5"/>
      <c r="E511" s="28"/>
      <c r="H511" s="28"/>
      <c r="K511" s="28"/>
      <c r="N511" s="28"/>
    </row>
    <row r="512" spans="1:14" ht="14.25" customHeight="1" x14ac:dyDescent="0.3">
      <c r="A512" s="5"/>
      <c r="E512" s="28"/>
      <c r="H512" s="28"/>
      <c r="K512" s="28"/>
      <c r="N512" s="28"/>
    </row>
    <row r="513" spans="1:14" ht="14.25" customHeight="1" x14ac:dyDescent="0.3">
      <c r="A513" s="5"/>
      <c r="E513" s="28"/>
      <c r="H513" s="28"/>
      <c r="K513" s="28"/>
      <c r="N513" s="28"/>
    </row>
    <row r="514" spans="1:14" ht="14.25" customHeight="1" x14ac:dyDescent="0.3">
      <c r="A514" s="5"/>
      <c r="E514" s="28"/>
      <c r="H514" s="28"/>
      <c r="K514" s="28"/>
      <c r="N514" s="28"/>
    </row>
    <row r="515" spans="1:14" ht="14.25" customHeight="1" x14ac:dyDescent="0.3">
      <c r="A515" s="5"/>
      <c r="E515" s="28"/>
      <c r="H515" s="28"/>
      <c r="K515" s="28"/>
      <c r="N515" s="28"/>
    </row>
    <row r="516" spans="1:14" ht="14.25" customHeight="1" x14ac:dyDescent="0.3">
      <c r="A516" s="5"/>
      <c r="E516" s="28"/>
      <c r="H516" s="28"/>
      <c r="K516" s="28"/>
      <c r="N516" s="28"/>
    </row>
    <row r="517" spans="1:14" ht="14.25" customHeight="1" x14ac:dyDescent="0.3">
      <c r="A517" s="5"/>
      <c r="E517" s="28"/>
      <c r="H517" s="28"/>
      <c r="K517" s="28"/>
      <c r="N517" s="28"/>
    </row>
    <row r="518" spans="1:14" ht="14.25" customHeight="1" x14ac:dyDescent="0.3">
      <c r="A518" s="5"/>
      <c r="E518" s="28"/>
      <c r="H518" s="28"/>
      <c r="K518" s="28"/>
      <c r="N518" s="28"/>
    </row>
    <row r="519" spans="1:14" ht="14.25" customHeight="1" x14ac:dyDescent="0.3">
      <c r="A519" s="5"/>
      <c r="E519" s="28"/>
      <c r="H519" s="28"/>
      <c r="K519" s="28"/>
      <c r="N519" s="28"/>
    </row>
    <row r="520" spans="1:14" ht="14.25" customHeight="1" x14ac:dyDescent="0.3">
      <c r="A520" s="5"/>
      <c r="E520" s="28"/>
      <c r="H520" s="28"/>
      <c r="K520" s="28"/>
      <c r="N520" s="28"/>
    </row>
    <row r="521" spans="1:14" ht="14.25" customHeight="1" x14ac:dyDescent="0.3">
      <c r="A521" s="5"/>
      <c r="E521" s="28"/>
      <c r="H521" s="28"/>
      <c r="K521" s="28"/>
      <c r="N521" s="28"/>
    </row>
    <row r="522" spans="1:14" ht="14.25" customHeight="1" x14ac:dyDescent="0.3">
      <c r="A522" s="5"/>
      <c r="E522" s="28"/>
      <c r="H522" s="28"/>
      <c r="K522" s="28"/>
      <c r="N522" s="28"/>
    </row>
    <row r="523" spans="1:14" ht="14.25" customHeight="1" x14ac:dyDescent="0.3">
      <c r="A523" s="5"/>
      <c r="E523" s="28"/>
      <c r="H523" s="28"/>
      <c r="K523" s="28"/>
      <c r="N523" s="28"/>
    </row>
    <row r="524" spans="1:14" ht="14.25" customHeight="1" x14ac:dyDescent="0.3">
      <c r="A524" s="5"/>
      <c r="E524" s="28"/>
      <c r="H524" s="28"/>
      <c r="K524" s="28"/>
      <c r="N524" s="28"/>
    </row>
    <row r="525" spans="1:14" ht="14.25" customHeight="1" x14ac:dyDescent="0.3">
      <c r="A525" s="5"/>
      <c r="E525" s="28"/>
      <c r="H525" s="28"/>
      <c r="K525" s="28"/>
      <c r="N525" s="28"/>
    </row>
    <row r="526" spans="1:14" ht="14.25" customHeight="1" x14ac:dyDescent="0.3">
      <c r="A526" s="5"/>
      <c r="E526" s="28"/>
      <c r="H526" s="28"/>
      <c r="K526" s="28"/>
      <c r="N526" s="28"/>
    </row>
    <row r="527" spans="1:14" ht="14.25" customHeight="1" x14ac:dyDescent="0.3">
      <c r="A527" s="5"/>
      <c r="E527" s="28"/>
      <c r="H527" s="28"/>
      <c r="K527" s="28"/>
      <c r="N527" s="28"/>
    </row>
    <row r="528" spans="1:14" ht="14.25" customHeight="1" x14ac:dyDescent="0.3">
      <c r="A528" s="5"/>
      <c r="E528" s="28"/>
      <c r="H528" s="28"/>
      <c r="K528" s="28"/>
      <c r="N528" s="28"/>
    </row>
    <row r="529" spans="1:14" ht="14.25" customHeight="1" x14ac:dyDescent="0.3">
      <c r="A529" s="5"/>
      <c r="E529" s="28"/>
      <c r="H529" s="28"/>
      <c r="K529" s="28"/>
      <c r="N529" s="28"/>
    </row>
    <row r="530" spans="1:14" ht="14.25" customHeight="1" x14ac:dyDescent="0.3">
      <c r="A530" s="5"/>
      <c r="E530" s="28"/>
      <c r="H530" s="28"/>
      <c r="K530" s="28"/>
      <c r="N530" s="28"/>
    </row>
    <row r="531" spans="1:14" ht="14.25" customHeight="1" x14ac:dyDescent="0.3">
      <c r="A531" s="5"/>
      <c r="E531" s="28"/>
      <c r="H531" s="28"/>
      <c r="K531" s="28"/>
      <c r="N531" s="28"/>
    </row>
    <row r="532" spans="1:14" ht="14.25" customHeight="1" x14ac:dyDescent="0.3">
      <c r="A532" s="5"/>
      <c r="E532" s="28"/>
      <c r="H532" s="28"/>
      <c r="K532" s="28"/>
      <c r="N532" s="28"/>
    </row>
    <row r="533" spans="1:14" ht="14.25" customHeight="1" x14ac:dyDescent="0.3">
      <c r="A533" s="5"/>
      <c r="E533" s="28"/>
      <c r="H533" s="28"/>
      <c r="K533" s="28"/>
      <c r="N533" s="28"/>
    </row>
    <row r="534" spans="1:14" ht="14.25" customHeight="1" x14ac:dyDescent="0.3">
      <c r="A534" s="5"/>
      <c r="E534" s="28"/>
      <c r="H534" s="28"/>
      <c r="K534" s="28"/>
      <c r="N534" s="28"/>
    </row>
    <row r="535" spans="1:14" ht="14.25" customHeight="1" x14ac:dyDescent="0.3">
      <c r="A535" s="5"/>
      <c r="E535" s="28"/>
      <c r="H535" s="28"/>
      <c r="K535" s="28"/>
      <c r="N535" s="28"/>
    </row>
    <row r="536" spans="1:14" ht="14.25" customHeight="1" x14ac:dyDescent="0.3">
      <c r="A536" s="5"/>
      <c r="E536" s="28"/>
      <c r="H536" s="28"/>
      <c r="K536" s="28"/>
      <c r="N536" s="28"/>
    </row>
    <row r="537" spans="1:14" ht="14.25" customHeight="1" x14ac:dyDescent="0.3">
      <c r="A537" s="5"/>
      <c r="E537" s="28"/>
      <c r="H537" s="28"/>
      <c r="K537" s="28"/>
      <c r="N537" s="28"/>
    </row>
    <row r="538" spans="1:14" ht="14.25" customHeight="1" x14ac:dyDescent="0.3">
      <c r="A538" s="5"/>
      <c r="E538" s="28"/>
      <c r="H538" s="28"/>
      <c r="K538" s="28"/>
      <c r="N538" s="28"/>
    </row>
    <row r="539" spans="1:14" ht="14.25" customHeight="1" x14ac:dyDescent="0.3">
      <c r="A539" s="5"/>
      <c r="E539" s="28"/>
      <c r="H539" s="28"/>
      <c r="K539" s="28"/>
      <c r="N539" s="28"/>
    </row>
    <row r="540" spans="1:14" ht="14.25" customHeight="1" x14ac:dyDescent="0.3">
      <c r="A540" s="5"/>
      <c r="E540" s="28"/>
      <c r="H540" s="28"/>
      <c r="K540" s="28"/>
      <c r="N540" s="28"/>
    </row>
    <row r="541" spans="1:14" ht="14.25" customHeight="1" x14ac:dyDescent="0.3">
      <c r="A541" s="5"/>
      <c r="E541" s="28"/>
      <c r="H541" s="28"/>
      <c r="K541" s="28"/>
      <c r="N541" s="28"/>
    </row>
    <row r="542" spans="1:14" ht="14.25" customHeight="1" x14ac:dyDescent="0.3">
      <c r="A542" s="5"/>
      <c r="E542" s="28"/>
      <c r="H542" s="28"/>
      <c r="K542" s="28"/>
      <c r="N542" s="28"/>
    </row>
    <row r="543" spans="1:14" ht="14.25" customHeight="1" x14ac:dyDescent="0.3">
      <c r="A543" s="5"/>
      <c r="E543" s="28"/>
      <c r="H543" s="28"/>
      <c r="K543" s="28"/>
      <c r="N543" s="28"/>
    </row>
    <row r="544" spans="1:14" ht="14.25" customHeight="1" x14ac:dyDescent="0.3">
      <c r="A544" s="5"/>
      <c r="E544" s="28"/>
      <c r="H544" s="28"/>
      <c r="K544" s="28"/>
      <c r="N544" s="28"/>
    </row>
    <row r="545" spans="1:14" ht="14.25" customHeight="1" x14ac:dyDescent="0.3">
      <c r="A545" s="5"/>
      <c r="E545" s="28"/>
      <c r="H545" s="28"/>
      <c r="K545" s="28"/>
      <c r="N545" s="28"/>
    </row>
    <row r="546" spans="1:14" ht="14.25" customHeight="1" x14ac:dyDescent="0.3">
      <c r="A546" s="5"/>
      <c r="E546" s="28"/>
      <c r="H546" s="28"/>
      <c r="K546" s="28"/>
      <c r="N546" s="28"/>
    </row>
    <row r="547" spans="1:14" ht="14.25" customHeight="1" x14ac:dyDescent="0.3">
      <c r="A547" s="5"/>
      <c r="E547" s="28"/>
      <c r="H547" s="28"/>
      <c r="K547" s="28"/>
      <c r="N547" s="28"/>
    </row>
    <row r="548" spans="1:14" ht="14.25" customHeight="1" x14ac:dyDescent="0.3">
      <c r="A548" s="5"/>
      <c r="E548" s="28"/>
      <c r="H548" s="28"/>
      <c r="K548" s="28"/>
      <c r="N548" s="28"/>
    </row>
    <row r="549" spans="1:14" ht="14.25" customHeight="1" x14ac:dyDescent="0.3">
      <c r="A549" s="5"/>
      <c r="E549" s="28"/>
      <c r="H549" s="28"/>
      <c r="K549" s="28"/>
      <c r="N549" s="28"/>
    </row>
    <row r="550" spans="1:14" ht="14.25" customHeight="1" x14ac:dyDescent="0.3">
      <c r="A550" s="5"/>
      <c r="E550" s="28"/>
      <c r="H550" s="28"/>
      <c r="K550" s="28"/>
      <c r="N550" s="28"/>
    </row>
    <row r="551" spans="1:14" ht="14.25" customHeight="1" x14ac:dyDescent="0.3">
      <c r="A551" s="5"/>
      <c r="E551" s="28"/>
      <c r="H551" s="28"/>
      <c r="K551" s="28"/>
      <c r="N551" s="28"/>
    </row>
    <row r="552" spans="1:14" ht="14.25" customHeight="1" x14ac:dyDescent="0.3">
      <c r="A552" s="5"/>
      <c r="E552" s="28"/>
      <c r="H552" s="28"/>
      <c r="K552" s="28"/>
      <c r="N552" s="28"/>
    </row>
    <row r="553" spans="1:14" ht="14.25" customHeight="1" x14ac:dyDescent="0.3">
      <c r="A553" s="5"/>
      <c r="E553" s="28"/>
      <c r="H553" s="28"/>
      <c r="K553" s="28"/>
      <c r="N553" s="28"/>
    </row>
    <row r="554" spans="1:14" ht="14.25" customHeight="1" x14ac:dyDescent="0.3">
      <c r="A554" s="5"/>
      <c r="E554" s="28"/>
      <c r="H554" s="28"/>
      <c r="K554" s="28"/>
      <c r="N554" s="28"/>
    </row>
    <row r="555" spans="1:14" ht="14.25" customHeight="1" x14ac:dyDescent="0.3">
      <c r="A555" s="5"/>
      <c r="E555" s="28"/>
      <c r="H555" s="28"/>
      <c r="K555" s="28"/>
      <c r="N555" s="28"/>
    </row>
    <row r="556" spans="1:14" ht="14.25" customHeight="1" x14ac:dyDescent="0.3">
      <c r="A556" s="5"/>
      <c r="E556" s="28"/>
      <c r="H556" s="28"/>
      <c r="K556" s="28"/>
      <c r="N556" s="28"/>
    </row>
    <row r="557" spans="1:14" ht="14.25" customHeight="1" x14ac:dyDescent="0.3">
      <c r="A557" s="5"/>
      <c r="E557" s="28"/>
      <c r="H557" s="28"/>
      <c r="K557" s="28"/>
      <c r="N557" s="28"/>
    </row>
    <row r="558" spans="1:14" ht="14.25" customHeight="1" x14ac:dyDescent="0.3">
      <c r="A558" s="5"/>
      <c r="E558" s="28"/>
      <c r="H558" s="28"/>
      <c r="K558" s="28"/>
      <c r="N558" s="28"/>
    </row>
    <row r="559" spans="1:14" ht="14.25" customHeight="1" x14ac:dyDescent="0.3">
      <c r="A559" s="5"/>
      <c r="E559" s="28"/>
      <c r="H559" s="28"/>
      <c r="K559" s="28"/>
      <c r="N559" s="28"/>
    </row>
    <row r="560" spans="1:14" ht="14.25" customHeight="1" x14ac:dyDescent="0.3">
      <c r="A560" s="5"/>
      <c r="E560" s="28"/>
      <c r="H560" s="28"/>
      <c r="K560" s="28"/>
      <c r="N560" s="28"/>
    </row>
    <row r="561" spans="1:14" ht="14.25" customHeight="1" x14ac:dyDescent="0.3">
      <c r="A561" s="5"/>
      <c r="E561" s="28"/>
      <c r="H561" s="28"/>
      <c r="K561" s="28"/>
      <c r="N561" s="28"/>
    </row>
    <row r="562" spans="1:14" ht="14.25" customHeight="1" x14ac:dyDescent="0.3">
      <c r="A562" s="5"/>
      <c r="E562" s="28"/>
      <c r="H562" s="28"/>
      <c r="K562" s="28"/>
      <c r="N562" s="28"/>
    </row>
    <row r="563" spans="1:14" ht="14.25" customHeight="1" x14ac:dyDescent="0.3">
      <c r="A563" s="5"/>
      <c r="E563" s="28"/>
      <c r="H563" s="28"/>
      <c r="K563" s="28"/>
      <c r="N563" s="28"/>
    </row>
    <row r="564" spans="1:14" ht="14.25" customHeight="1" x14ac:dyDescent="0.3">
      <c r="A564" s="5"/>
      <c r="E564" s="28"/>
      <c r="H564" s="28"/>
      <c r="K564" s="28"/>
      <c r="N564" s="28"/>
    </row>
    <row r="565" spans="1:14" ht="14.25" customHeight="1" x14ac:dyDescent="0.3">
      <c r="A565" s="5"/>
      <c r="E565" s="28"/>
      <c r="H565" s="28"/>
      <c r="K565" s="28"/>
      <c r="N565" s="28"/>
    </row>
    <row r="566" spans="1:14" ht="14.25" customHeight="1" x14ac:dyDescent="0.3">
      <c r="A566" s="5"/>
      <c r="E566" s="28"/>
      <c r="H566" s="28"/>
      <c r="K566" s="28"/>
      <c r="N566" s="28"/>
    </row>
    <row r="567" spans="1:14" ht="14.25" customHeight="1" x14ac:dyDescent="0.3">
      <c r="A567" s="5"/>
      <c r="E567" s="28"/>
      <c r="H567" s="28"/>
      <c r="K567" s="28"/>
      <c r="N567" s="28"/>
    </row>
    <row r="568" spans="1:14" ht="14.25" customHeight="1" x14ac:dyDescent="0.3">
      <c r="A568" s="5"/>
      <c r="E568" s="28"/>
      <c r="H568" s="28"/>
      <c r="K568" s="28"/>
      <c r="N568" s="28"/>
    </row>
    <row r="569" spans="1:14" ht="14.25" customHeight="1" x14ac:dyDescent="0.3">
      <c r="A569" s="5"/>
      <c r="E569" s="28"/>
      <c r="H569" s="28"/>
      <c r="K569" s="28"/>
      <c r="N569" s="28"/>
    </row>
    <row r="570" spans="1:14" ht="14.25" customHeight="1" x14ac:dyDescent="0.3">
      <c r="A570" s="5"/>
      <c r="E570" s="28"/>
      <c r="H570" s="28"/>
      <c r="K570" s="28"/>
      <c r="N570" s="28"/>
    </row>
    <row r="571" spans="1:14" ht="14.25" customHeight="1" x14ac:dyDescent="0.3">
      <c r="A571" s="5"/>
      <c r="E571" s="28"/>
      <c r="H571" s="28"/>
      <c r="K571" s="28"/>
      <c r="N571" s="28"/>
    </row>
    <row r="572" spans="1:14" ht="14.25" customHeight="1" x14ac:dyDescent="0.3">
      <c r="A572" s="5"/>
      <c r="E572" s="28"/>
      <c r="H572" s="28"/>
      <c r="K572" s="28"/>
      <c r="N572" s="28"/>
    </row>
    <row r="573" spans="1:14" ht="14.25" customHeight="1" x14ac:dyDescent="0.3">
      <c r="A573" s="5"/>
      <c r="E573" s="28"/>
      <c r="H573" s="28"/>
      <c r="K573" s="28"/>
      <c r="N573" s="28"/>
    </row>
    <row r="574" spans="1:14" ht="14.25" customHeight="1" x14ac:dyDescent="0.3">
      <c r="A574" s="5"/>
      <c r="E574" s="28"/>
      <c r="H574" s="28"/>
      <c r="K574" s="28"/>
      <c r="N574" s="28"/>
    </row>
    <row r="575" spans="1:14" ht="14.25" customHeight="1" x14ac:dyDescent="0.3">
      <c r="A575" s="5"/>
      <c r="E575" s="28"/>
      <c r="H575" s="28"/>
      <c r="K575" s="28"/>
      <c r="N575" s="28"/>
    </row>
    <row r="576" spans="1:14" ht="14.25" customHeight="1" x14ac:dyDescent="0.3">
      <c r="A576" s="5"/>
      <c r="E576" s="28"/>
      <c r="H576" s="28"/>
      <c r="K576" s="28"/>
      <c r="N576" s="28"/>
    </row>
    <row r="577" spans="1:14" ht="14.25" customHeight="1" x14ac:dyDescent="0.3">
      <c r="A577" s="5"/>
      <c r="E577" s="28"/>
      <c r="H577" s="28"/>
      <c r="K577" s="28"/>
      <c r="N577" s="28"/>
    </row>
    <row r="578" spans="1:14" ht="14.25" customHeight="1" x14ac:dyDescent="0.3">
      <c r="A578" s="5"/>
      <c r="E578" s="28"/>
      <c r="H578" s="28"/>
      <c r="K578" s="28"/>
      <c r="N578" s="28"/>
    </row>
    <row r="579" spans="1:14" ht="14.25" customHeight="1" x14ac:dyDescent="0.3">
      <c r="A579" s="5"/>
      <c r="E579" s="28"/>
      <c r="H579" s="28"/>
      <c r="K579" s="28"/>
      <c r="N579" s="28"/>
    </row>
    <row r="580" spans="1:14" ht="14.25" customHeight="1" x14ac:dyDescent="0.3">
      <c r="A580" s="5"/>
      <c r="E580" s="28"/>
      <c r="H580" s="28"/>
      <c r="K580" s="28"/>
      <c r="N580" s="28"/>
    </row>
    <row r="581" spans="1:14" ht="14.25" customHeight="1" x14ac:dyDescent="0.3">
      <c r="A581" s="5"/>
      <c r="E581" s="28"/>
      <c r="H581" s="28"/>
      <c r="K581" s="28"/>
      <c r="N581" s="28"/>
    </row>
    <row r="582" spans="1:14" ht="14.25" customHeight="1" x14ac:dyDescent="0.3">
      <c r="A582" s="5"/>
      <c r="E582" s="28"/>
      <c r="H582" s="28"/>
      <c r="K582" s="28"/>
      <c r="N582" s="28"/>
    </row>
    <row r="583" spans="1:14" ht="14.25" customHeight="1" x14ac:dyDescent="0.3">
      <c r="A583" s="5"/>
      <c r="E583" s="28"/>
      <c r="H583" s="28"/>
      <c r="K583" s="28"/>
      <c r="N583" s="28"/>
    </row>
    <row r="584" spans="1:14" ht="14.25" customHeight="1" x14ac:dyDescent="0.3">
      <c r="A584" s="5"/>
      <c r="E584" s="28"/>
      <c r="H584" s="28"/>
      <c r="K584" s="28"/>
      <c r="N584" s="28"/>
    </row>
    <row r="585" spans="1:14" ht="14.25" customHeight="1" x14ac:dyDescent="0.3">
      <c r="A585" s="5"/>
      <c r="E585" s="28"/>
      <c r="H585" s="28"/>
      <c r="K585" s="28"/>
      <c r="N585" s="28"/>
    </row>
    <row r="586" spans="1:14" ht="14.25" customHeight="1" x14ac:dyDescent="0.3">
      <c r="A586" s="5"/>
      <c r="E586" s="28"/>
      <c r="H586" s="28"/>
      <c r="K586" s="28"/>
      <c r="N586" s="28"/>
    </row>
    <row r="587" spans="1:14" ht="14.25" customHeight="1" x14ac:dyDescent="0.3">
      <c r="A587" s="5"/>
      <c r="E587" s="28"/>
      <c r="H587" s="28"/>
      <c r="K587" s="28"/>
      <c r="N587" s="28"/>
    </row>
    <row r="588" spans="1:14" ht="14.25" customHeight="1" x14ac:dyDescent="0.3">
      <c r="A588" s="5"/>
      <c r="E588" s="28"/>
      <c r="H588" s="28"/>
      <c r="K588" s="28"/>
      <c r="N588" s="28"/>
    </row>
    <row r="589" spans="1:14" ht="14.25" customHeight="1" x14ac:dyDescent="0.3">
      <c r="A589" s="5"/>
      <c r="E589" s="28"/>
      <c r="H589" s="28"/>
      <c r="K589" s="28"/>
      <c r="N589" s="28"/>
    </row>
    <row r="590" spans="1:14" ht="14.25" customHeight="1" x14ac:dyDescent="0.3">
      <c r="A590" s="5"/>
      <c r="E590" s="28"/>
      <c r="H590" s="28"/>
      <c r="K590" s="28"/>
      <c r="N590" s="28"/>
    </row>
    <row r="591" spans="1:14" ht="14.25" customHeight="1" x14ac:dyDescent="0.3">
      <c r="A591" s="5"/>
      <c r="E591" s="28"/>
      <c r="H591" s="28"/>
      <c r="K591" s="28"/>
      <c r="N591" s="28"/>
    </row>
    <row r="592" spans="1:14" ht="14.25" customHeight="1" x14ac:dyDescent="0.3">
      <c r="A592" s="5"/>
      <c r="E592" s="28"/>
      <c r="H592" s="28"/>
      <c r="K592" s="28"/>
      <c r="N592" s="28"/>
    </row>
    <row r="593" spans="1:14" ht="14.25" customHeight="1" x14ac:dyDescent="0.3">
      <c r="A593" s="5"/>
      <c r="E593" s="28"/>
      <c r="H593" s="28"/>
      <c r="K593" s="28"/>
      <c r="N593" s="28"/>
    </row>
    <row r="594" spans="1:14" ht="14.25" customHeight="1" x14ac:dyDescent="0.3">
      <c r="A594" s="5"/>
      <c r="E594" s="28"/>
      <c r="H594" s="28"/>
      <c r="K594" s="28"/>
      <c r="N594" s="28"/>
    </row>
    <row r="595" spans="1:14" ht="14.25" customHeight="1" x14ac:dyDescent="0.3">
      <c r="A595" s="5"/>
      <c r="E595" s="28"/>
      <c r="H595" s="28"/>
      <c r="K595" s="28"/>
      <c r="N595" s="28"/>
    </row>
    <row r="596" spans="1:14" ht="14.25" customHeight="1" x14ac:dyDescent="0.3">
      <c r="A596" s="5"/>
      <c r="E596" s="28"/>
      <c r="H596" s="28"/>
      <c r="K596" s="28"/>
      <c r="N596" s="28"/>
    </row>
    <row r="597" spans="1:14" ht="14.25" customHeight="1" x14ac:dyDescent="0.3">
      <c r="A597" s="5"/>
      <c r="E597" s="28"/>
      <c r="H597" s="28"/>
      <c r="K597" s="28"/>
      <c r="N597" s="28"/>
    </row>
    <row r="598" spans="1:14" ht="14.25" customHeight="1" x14ac:dyDescent="0.3">
      <c r="A598" s="5"/>
      <c r="E598" s="28"/>
      <c r="H598" s="28"/>
      <c r="K598" s="28"/>
      <c r="N598" s="28"/>
    </row>
    <row r="599" spans="1:14" ht="14.25" customHeight="1" x14ac:dyDescent="0.3">
      <c r="A599" s="5"/>
      <c r="E599" s="28"/>
      <c r="H599" s="28"/>
      <c r="K599" s="28"/>
      <c r="N599" s="28"/>
    </row>
    <row r="600" spans="1:14" ht="14.25" customHeight="1" x14ac:dyDescent="0.3">
      <c r="A600" s="5"/>
      <c r="E600" s="28"/>
      <c r="H600" s="28"/>
      <c r="K600" s="28"/>
      <c r="N600" s="28"/>
    </row>
    <row r="601" spans="1:14" ht="14.25" customHeight="1" x14ac:dyDescent="0.3">
      <c r="A601" s="5"/>
      <c r="E601" s="28"/>
      <c r="H601" s="28"/>
      <c r="K601" s="28"/>
      <c r="N601" s="28"/>
    </row>
    <row r="602" spans="1:14" ht="14.25" customHeight="1" x14ac:dyDescent="0.3">
      <c r="A602" s="5"/>
      <c r="E602" s="28"/>
      <c r="H602" s="28"/>
      <c r="K602" s="28"/>
      <c r="N602" s="28"/>
    </row>
    <row r="603" spans="1:14" ht="14.25" customHeight="1" x14ac:dyDescent="0.3">
      <c r="A603" s="5"/>
      <c r="E603" s="28"/>
      <c r="H603" s="28"/>
      <c r="K603" s="28"/>
      <c r="N603" s="28"/>
    </row>
    <row r="604" spans="1:14" ht="14.25" customHeight="1" x14ac:dyDescent="0.3">
      <c r="A604" s="5"/>
      <c r="E604" s="28"/>
      <c r="H604" s="28"/>
      <c r="K604" s="28"/>
      <c r="N604" s="28"/>
    </row>
    <row r="605" spans="1:14" ht="14.25" customHeight="1" x14ac:dyDescent="0.3">
      <c r="A605" s="5"/>
      <c r="E605" s="28"/>
      <c r="H605" s="28"/>
      <c r="K605" s="28"/>
      <c r="N605" s="28"/>
    </row>
    <row r="606" spans="1:14" ht="14.25" customHeight="1" x14ac:dyDescent="0.3">
      <c r="A606" s="5"/>
      <c r="E606" s="28"/>
      <c r="H606" s="28"/>
      <c r="K606" s="28"/>
      <c r="N606" s="28"/>
    </row>
    <row r="607" spans="1:14" ht="14.25" customHeight="1" x14ac:dyDescent="0.3">
      <c r="A607" s="5"/>
      <c r="E607" s="28"/>
      <c r="H607" s="28"/>
      <c r="K607" s="28"/>
      <c r="N607" s="28"/>
    </row>
    <row r="608" spans="1:14" ht="14.25" customHeight="1" x14ac:dyDescent="0.3">
      <c r="A608" s="5"/>
      <c r="E608" s="28"/>
      <c r="H608" s="28"/>
      <c r="K608" s="28"/>
      <c r="N608" s="28"/>
    </row>
    <row r="609" spans="1:14" ht="14.25" customHeight="1" x14ac:dyDescent="0.3">
      <c r="A609" s="5"/>
      <c r="E609" s="28"/>
      <c r="H609" s="28"/>
      <c r="K609" s="28"/>
      <c r="N609" s="28"/>
    </row>
    <row r="610" spans="1:14" ht="14.25" customHeight="1" x14ac:dyDescent="0.3">
      <c r="A610" s="5"/>
      <c r="E610" s="28"/>
      <c r="H610" s="28"/>
      <c r="K610" s="28"/>
      <c r="N610" s="28"/>
    </row>
    <row r="611" spans="1:14" ht="14.25" customHeight="1" x14ac:dyDescent="0.3">
      <c r="A611" s="5"/>
      <c r="E611" s="28"/>
      <c r="H611" s="28"/>
      <c r="K611" s="28"/>
      <c r="N611" s="28"/>
    </row>
    <row r="612" spans="1:14" ht="14.25" customHeight="1" x14ac:dyDescent="0.3">
      <c r="A612" s="5"/>
      <c r="E612" s="28"/>
      <c r="H612" s="28"/>
      <c r="K612" s="28"/>
      <c r="N612" s="28"/>
    </row>
    <row r="613" spans="1:14" ht="14.25" customHeight="1" x14ac:dyDescent="0.3">
      <c r="A613" s="5"/>
      <c r="E613" s="28"/>
      <c r="H613" s="28"/>
      <c r="K613" s="28"/>
      <c r="N613" s="28"/>
    </row>
    <row r="614" spans="1:14" ht="14.25" customHeight="1" x14ac:dyDescent="0.3">
      <c r="A614" s="5"/>
      <c r="E614" s="28"/>
      <c r="H614" s="28"/>
      <c r="K614" s="28"/>
      <c r="N614" s="28"/>
    </row>
    <row r="615" spans="1:14" ht="14.25" customHeight="1" x14ac:dyDescent="0.3">
      <c r="A615" s="5"/>
      <c r="E615" s="28"/>
      <c r="H615" s="28"/>
      <c r="K615" s="28"/>
      <c r="N615" s="28"/>
    </row>
    <row r="616" spans="1:14" ht="14.25" customHeight="1" x14ac:dyDescent="0.3">
      <c r="A616" s="5"/>
      <c r="E616" s="28"/>
      <c r="H616" s="28"/>
      <c r="K616" s="28"/>
      <c r="N616" s="28"/>
    </row>
    <row r="617" spans="1:14" ht="14.25" customHeight="1" x14ac:dyDescent="0.3">
      <c r="A617" s="5"/>
      <c r="E617" s="28"/>
      <c r="H617" s="28"/>
      <c r="K617" s="28"/>
      <c r="N617" s="28"/>
    </row>
    <row r="618" spans="1:14" ht="14.25" customHeight="1" x14ac:dyDescent="0.3">
      <c r="A618" s="5"/>
      <c r="E618" s="28"/>
      <c r="H618" s="28"/>
      <c r="K618" s="28"/>
      <c r="N618" s="28"/>
    </row>
    <row r="619" spans="1:14" ht="14.25" customHeight="1" x14ac:dyDescent="0.3">
      <c r="A619" s="5"/>
      <c r="E619" s="28"/>
      <c r="H619" s="28"/>
      <c r="K619" s="28"/>
      <c r="N619" s="28"/>
    </row>
    <row r="620" spans="1:14" ht="14.25" customHeight="1" x14ac:dyDescent="0.3">
      <c r="A620" s="5"/>
      <c r="E620" s="28"/>
      <c r="H620" s="28"/>
      <c r="K620" s="28"/>
      <c r="N620" s="28"/>
    </row>
    <row r="621" spans="1:14" ht="14.25" customHeight="1" x14ac:dyDescent="0.3">
      <c r="A621" s="5"/>
      <c r="E621" s="28"/>
      <c r="H621" s="28"/>
      <c r="K621" s="28"/>
      <c r="N621" s="28"/>
    </row>
    <row r="622" spans="1:14" ht="14.25" customHeight="1" x14ac:dyDescent="0.3">
      <c r="A622" s="5"/>
      <c r="E622" s="28"/>
      <c r="H622" s="28"/>
      <c r="K622" s="28"/>
      <c r="N622" s="28"/>
    </row>
    <row r="623" spans="1:14" ht="14.25" customHeight="1" x14ac:dyDescent="0.3">
      <c r="A623" s="5"/>
      <c r="E623" s="28"/>
      <c r="H623" s="28"/>
      <c r="K623" s="28"/>
      <c r="N623" s="28"/>
    </row>
    <row r="624" spans="1:14" ht="14.25" customHeight="1" x14ac:dyDescent="0.3">
      <c r="A624" s="5"/>
      <c r="E624" s="28"/>
      <c r="H624" s="28"/>
      <c r="K624" s="28"/>
      <c r="N624" s="28"/>
    </row>
    <row r="625" spans="1:14" ht="14.25" customHeight="1" x14ac:dyDescent="0.3">
      <c r="A625" s="5"/>
      <c r="E625" s="28"/>
      <c r="H625" s="28"/>
      <c r="K625" s="28"/>
      <c r="N625" s="28"/>
    </row>
    <row r="626" spans="1:14" ht="14.25" customHeight="1" x14ac:dyDescent="0.3">
      <c r="A626" s="5"/>
      <c r="E626" s="28"/>
      <c r="H626" s="28"/>
      <c r="K626" s="28"/>
      <c r="N626" s="28"/>
    </row>
    <row r="627" spans="1:14" ht="14.25" customHeight="1" x14ac:dyDescent="0.3">
      <c r="A627" s="5"/>
      <c r="E627" s="28"/>
      <c r="H627" s="28"/>
      <c r="K627" s="28"/>
      <c r="N627" s="28"/>
    </row>
    <row r="628" spans="1:14" ht="14.25" customHeight="1" x14ac:dyDescent="0.3">
      <c r="A628" s="5"/>
      <c r="E628" s="28"/>
      <c r="H628" s="28"/>
      <c r="K628" s="28"/>
      <c r="N628" s="28"/>
    </row>
    <row r="629" spans="1:14" ht="14.25" customHeight="1" x14ac:dyDescent="0.3">
      <c r="A629" s="5"/>
      <c r="E629" s="28"/>
      <c r="H629" s="28"/>
      <c r="K629" s="28"/>
      <c r="N629" s="28"/>
    </row>
    <row r="630" spans="1:14" ht="14.25" customHeight="1" x14ac:dyDescent="0.3">
      <c r="A630" s="5"/>
      <c r="E630" s="28"/>
      <c r="H630" s="28"/>
      <c r="K630" s="28"/>
      <c r="N630" s="28"/>
    </row>
    <row r="631" spans="1:14" ht="14.25" customHeight="1" x14ac:dyDescent="0.3">
      <c r="A631" s="5"/>
      <c r="E631" s="28"/>
      <c r="H631" s="28"/>
      <c r="K631" s="28"/>
      <c r="N631" s="28"/>
    </row>
    <row r="632" spans="1:14" ht="14.25" customHeight="1" x14ac:dyDescent="0.3">
      <c r="A632" s="5"/>
      <c r="E632" s="28"/>
      <c r="H632" s="28"/>
      <c r="K632" s="28"/>
      <c r="N632" s="28"/>
    </row>
    <row r="633" spans="1:14" ht="14.25" customHeight="1" x14ac:dyDescent="0.3">
      <c r="A633" s="5"/>
      <c r="E633" s="28"/>
      <c r="H633" s="28"/>
      <c r="K633" s="28"/>
      <c r="N633" s="28"/>
    </row>
    <row r="634" spans="1:14" ht="14.25" customHeight="1" x14ac:dyDescent="0.3">
      <c r="A634" s="5"/>
      <c r="E634" s="28"/>
      <c r="H634" s="28"/>
      <c r="K634" s="28"/>
      <c r="N634" s="28"/>
    </row>
    <row r="635" spans="1:14" ht="14.25" customHeight="1" x14ac:dyDescent="0.3">
      <c r="A635" s="5"/>
      <c r="E635" s="28"/>
      <c r="H635" s="28"/>
      <c r="K635" s="28"/>
      <c r="N635" s="28"/>
    </row>
    <row r="636" spans="1:14" ht="14.25" customHeight="1" x14ac:dyDescent="0.3">
      <c r="A636" s="5"/>
      <c r="E636" s="28"/>
      <c r="H636" s="28"/>
      <c r="K636" s="28"/>
      <c r="N636" s="28"/>
    </row>
    <row r="637" spans="1:14" ht="14.25" customHeight="1" x14ac:dyDescent="0.3">
      <c r="A637" s="5"/>
      <c r="E637" s="28"/>
      <c r="H637" s="28"/>
      <c r="K637" s="28"/>
      <c r="N637" s="28"/>
    </row>
    <row r="638" spans="1:14" ht="14.25" customHeight="1" x14ac:dyDescent="0.3">
      <c r="A638" s="5"/>
      <c r="E638" s="28"/>
      <c r="H638" s="28"/>
      <c r="K638" s="28"/>
      <c r="N638" s="28"/>
    </row>
    <row r="639" spans="1:14" ht="14.25" customHeight="1" x14ac:dyDescent="0.3">
      <c r="A639" s="5"/>
      <c r="E639" s="28"/>
      <c r="H639" s="28"/>
      <c r="K639" s="28"/>
      <c r="N639" s="28"/>
    </row>
    <row r="640" spans="1:14" ht="14.25" customHeight="1" x14ac:dyDescent="0.3">
      <c r="A640" s="5"/>
      <c r="E640" s="28"/>
      <c r="H640" s="28"/>
      <c r="K640" s="28"/>
      <c r="N640" s="28"/>
    </row>
    <row r="641" spans="1:14" ht="14.25" customHeight="1" x14ac:dyDescent="0.3">
      <c r="A641" s="5"/>
      <c r="E641" s="28"/>
      <c r="H641" s="28"/>
      <c r="K641" s="28"/>
      <c r="N641" s="28"/>
    </row>
    <row r="642" spans="1:14" ht="14.25" customHeight="1" x14ac:dyDescent="0.3">
      <c r="A642" s="5"/>
      <c r="E642" s="28"/>
      <c r="H642" s="28"/>
      <c r="K642" s="28"/>
      <c r="N642" s="28"/>
    </row>
    <row r="643" spans="1:14" ht="14.25" customHeight="1" x14ac:dyDescent="0.3">
      <c r="A643" s="5"/>
      <c r="E643" s="28"/>
      <c r="H643" s="28"/>
      <c r="K643" s="28"/>
      <c r="N643" s="28"/>
    </row>
    <row r="644" spans="1:14" ht="14.25" customHeight="1" x14ac:dyDescent="0.3">
      <c r="A644" s="5"/>
      <c r="E644" s="28"/>
      <c r="H644" s="28"/>
      <c r="K644" s="28"/>
      <c r="N644" s="28"/>
    </row>
    <row r="645" spans="1:14" ht="14.25" customHeight="1" x14ac:dyDescent="0.3">
      <c r="A645" s="5"/>
      <c r="E645" s="28"/>
      <c r="H645" s="28"/>
      <c r="K645" s="28"/>
      <c r="N645" s="28"/>
    </row>
    <row r="646" spans="1:14" ht="14.25" customHeight="1" x14ac:dyDescent="0.3">
      <c r="A646" s="5"/>
      <c r="E646" s="28"/>
      <c r="H646" s="28"/>
      <c r="K646" s="28"/>
      <c r="N646" s="28"/>
    </row>
    <row r="647" spans="1:14" ht="14.25" customHeight="1" x14ac:dyDescent="0.3">
      <c r="A647" s="5"/>
      <c r="E647" s="28"/>
      <c r="H647" s="28"/>
      <c r="K647" s="28"/>
      <c r="N647" s="28"/>
    </row>
    <row r="648" spans="1:14" ht="14.25" customHeight="1" x14ac:dyDescent="0.3">
      <c r="A648" s="5"/>
      <c r="E648" s="28"/>
      <c r="H648" s="28"/>
      <c r="K648" s="28"/>
      <c r="N648" s="28"/>
    </row>
    <row r="649" spans="1:14" ht="14.25" customHeight="1" x14ac:dyDescent="0.3">
      <c r="A649" s="5"/>
      <c r="E649" s="28"/>
      <c r="H649" s="28"/>
      <c r="K649" s="28"/>
      <c r="N649" s="28"/>
    </row>
    <row r="650" spans="1:14" ht="14.25" customHeight="1" x14ac:dyDescent="0.3">
      <c r="A650" s="5"/>
      <c r="E650" s="28"/>
      <c r="H650" s="28"/>
      <c r="K650" s="28"/>
      <c r="N650" s="28"/>
    </row>
    <row r="651" spans="1:14" ht="14.25" customHeight="1" x14ac:dyDescent="0.3">
      <c r="A651" s="5"/>
      <c r="E651" s="28"/>
      <c r="H651" s="28"/>
      <c r="K651" s="28"/>
      <c r="N651" s="28"/>
    </row>
    <row r="652" spans="1:14" ht="14.25" customHeight="1" x14ac:dyDescent="0.3">
      <c r="A652" s="5"/>
      <c r="E652" s="28"/>
      <c r="H652" s="28"/>
      <c r="K652" s="28"/>
      <c r="N652" s="28"/>
    </row>
    <row r="653" spans="1:14" ht="14.25" customHeight="1" x14ac:dyDescent="0.3">
      <c r="A653" s="5"/>
      <c r="E653" s="28"/>
      <c r="H653" s="28"/>
      <c r="K653" s="28"/>
      <c r="N653" s="28"/>
    </row>
    <row r="654" spans="1:14" ht="14.25" customHeight="1" x14ac:dyDescent="0.3">
      <c r="A654" s="5"/>
      <c r="E654" s="28"/>
      <c r="H654" s="28"/>
      <c r="K654" s="28"/>
      <c r="N654" s="28"/>
    </row>
    <row r="655" spans="1:14" ht="14.25" customHeight="1" x14ac:dyDescent="0.3">
      <c r="A655" s="5"/>
      <c r="E655" s="28"/>
      <c r="H655" s="28"/>
      <c r="K655" s="28"/>
      <c r="N655" s="28"/>
    </row>
    <row r="656" spans="1:14" ht="14.25" customHeight="1" x14ac:dyDescent="0.3">
      <c r="A656" s="5"/>
      <c r="E656" s="28"/>
      <c r="H656" s="28"/>
      <c r="K656" s="28"/>
      <c r="N656" s="28"/>
    </row>
    <row r="657" spans="1:14" ht="14.25" customHeight="1" x14ac:dyDescent="0.3">
      <c r="A657" s="5"/>
      <c r="E657" s="28"/>
      <c r="H657" s="28"/>
      <c r="K657" s="28"/>
      <c r="N657" s="28"/>
    </row>
    <row r="658" spans="1:14" ht="14.25" customHeight="1" x14ac:dyDescent="0.3">
      <c r="A658" s="5"/>
      <c r="E658" s="28"/>
      <c r="H658" s="28"/>
      <c r="K658" s="28"/>
      <c r="N658" s="28"/>
    </row>
    <row r="659" spans="1:14" ht="14.25" customHeight="1" x14ac:dyDescent="0.3">
      <c r="A659" s="5"/>
      <c r="E659" s="28"/>
      <c r="H659" s="28"/>
      <c r="K659" s="28"/>
      <c r="N659" s="28"/>
    </row>
    <row r="660" spans="1:14" ht="14.25" customHeight="1" x14ac:dyDescent="0.3">
      <c r="A660" s="5"/>
      <c r="E660" s="28"/>
      <c r="H660" s="28"/>
      <c r="K660" s="28"/>
      <c r="N660" s="28"/>
    </row>
    <row r="661" spans="1:14" ht="14.25" customHeight="1" x14ac:dyDescent="0.3">
      <c r="A661" s="5"/>
      <c r="E661" s="28"/>
      <c r="H661" s="28"/>
      <c r="K661" s="28"/>
      <c r="N661" s="28"/>
    </row>
    <row r="662" spans="1:14" ht="14.25" customHeight="1" x14ac:dyDescent="0.3">
      <c r="A662" s="5"/>
      <c r="E662" s="28"/>
      <c r="H662" s="28"/>
      <c r="K662" s="28"/>
      <c r="N662" s="28"/>
    </row>
    <row r="663" spans="1:14" ht="14.25" customHeight="1" x14ac:dyDescent="0.3">
      <c r="A663" s="5"/>
      <c r="E663" s="28"/>
      <c r="H663" s="28"/>
      <c r="K663" s="28"/>
      <c r="N663" s="28"/>
    </row>
    <row r="664" spans="1:14" ht="14.25" customHeight="1" x14ac:dyDescent="0.3">
      <c r="A664" s="5"/>
      <c r="E664" s="28"/>
      <c r="H664" s="28"/>
      <c r="K664" s="28"/>
      <c r="N664" s="28"/>
    </row>
    <row r="665" spans="1:14" ht="14.25" customHeight="1" x14ac:dyDescent="0.3">
      <c r="A665" s="5"/>
      <c r="E665" s="28"/>
      <c r="H665" s="28"/>
      <c r="K665" s="28"/>
      <c r="N665" s="28"/>
    </row>
    <row r="666" spans="1:14" ht="14.25" customHeight="1" x14ac:dyDescent="0.3">
      <c r="A666" s="5"/>
      <c r="E666" s="28"/>
      <c r="H666" s="28"/>
      <c r="K666" s="28"/>
      <c r="N666" s="28"/>
    </row>
    <row r="667" spans="1:14" ht="14.25" customHeight="1" x14ac:dyDescent="0.3">
      <c r="A667" s="5"/>
      <c r="E667" s="28"/>
      <c r="H667" s="28"/>
      <c r="K667" s="28"/>
      <c r="N667" s="28"/>
    </row>
    <row r="668" spans="1:14" ht="14.25" customHeight="1" x14ac:dyDescent="0.3">
      <c r="A668" s="5"/>
      <c r="E668" s="28"/>
      <c r="H668" s="28"/>
      <c r="K668" s="28"/>
      <c r="N668" s="28"/>
    </row>
    <row r="669" spans="1:14" ht="14.25" customHeight="1" x14ac:dyDescent="0.3">
      <c r="A669" s="5"/>
      <c r="E669" s="28"/>
      <c r="H669" s="28"/>
      <c r="K669" s="28"/>
      <c r="N669" s="28"/>
    </row>
    <row r="670" spans="1:14" ht="14.25" customHeight="1" x14ac:dyDescent="0.3">
      <c r="A670" s="5"/>
      <c r="E670" s="28"/>
      <c r="H670" s="28"/>
      <c r="K670" s="28"/>
      <c r="N670" s="28"/>
    </row>
    <row r="671" spans="1:14" ht="14.25" customHeight="1" x14ac:dyDescent="0.3">
      <c r="A671" s="5"/>
      <c r="E671" s="28"/>
      <c r="H671" s="28"/>
      <c r="K671" s="28"/>
      <c r="N671" s="28"/>
    </row>
    <row r="672" spans="1:14" ht="14.25" customHeight="1" x14ac:dyDescent="0.3">
      <c r="A672" s="5"/>
      <c r="E672" s="28"/>
      <c r="H672" s="28"/>
      <c r="K672" s="28"/>
      <c r="N672" s="28"/>
    </row>
    <row r="673" spans="1:14" ht="14.25" customHeight="1" x14ac:dyDescent="0.3">
      <c r="A673" s="5"/>
      <c r="E673" s="28"/>
      <c r="H673" s="28"/>
      <c r="K673" s="28"/>
      <c r="N673" s="28"/>
    </row>
    <row r="674" spans="1:14" ht="14.25" customHeight="1" x14ac:dyDescent="0.3">
      <c r="A674" s="5"/>
      <c r="E674" s="28"/>
      <c r="H674" s="28"/>
      <c r="K674" s="28"/>
      <c r="N674" s="28"/>
    </row>
    <row r="675" spans="1:14" ht="14.25" customHeight="1" x14ac:dyDescent="0.3">
      <c r="A675" s="5"/>
      <c r="E675" s="28"/>
      <c r="H675" s="28"/>
      <c r="K675" s="28"/>
      <c r="N675" s="28"/>
    </row>
    <row r="676" spans="1:14" ht="14.25" customHeight="1" x14ac:dyDescent="0.3">
      <c r="A676" s="5"/>
      <c r="E676" s="28"/>
      <c r="H676" s="28"/>
      <c r="K676" s="28"/>
      <c r="N676" s="28"/>
    </row>
    <row r="677" spans="1:14" ht="14.25" customHeight="1" x14ac:dyDescent="0.3">
      <c r="A677" s="5"/>
      <c r="E677" s="28"/>
      <c r="H677" s="28"/>
      <c r="K677" s="28"/>
      <c r="N677" s="28"/>
    </row>
    <row r="678" spans="1:14" ht="14.25" customHeight="1" x14ac:dyDescent="0.3">
      <c r="A678" s="5"/>
      <c r="E678" s="28"/>
      <c r="H678" s="28"/>
      <c r="K678" s="28"/>
      <c r="N678" s="28"/>
    </row>
    <row r="679" spans="1:14" ht="14.25" customHeight="1" x14ac:dyDescent="0.3">
      <c r="A679" s="5"/>
      <c r="E679" s="28"/>
      <c r="H679" s="28"/>
      <c r="K679" s="28"/>
      <c r="N679" s="28"/>
    </row>
    <row r="680" spans="1:14" ht="14.25" customHeight="1" x14ac:dyDescent="0.3">
      <c r="A680" s="5"/>
      <c r="E680" s="28"/>
      <c r="H680" s="28"/>
      <c r="K680" s="28"/>
      <c r="N680" s="28"/>
    </row>
    <row r="681" spans="1:14" ht="14.25" customHeight="1" x14ac:dyDescent="0.3">
      <c r="A681" s="5"/>
      <c r="E681" s="28"/>
      <c r="H681" s="28"/>
      <c r="K681" s="28"/>
      <c r="N681" s="28"/>
    </row>
    <row r="682" spans="1:14" ht="14.25" customHeight="1" x14ac:dyDescent="0.3">
      <c r="A682" s="5"/>
      <c r="E682" s="28"/>
      <c r="H682" s="28"/>
      <c r="K682" s="28"/>
      <c r="N682" s="28"/>
    </row>
    <row r="683" spans="1:14" ht="14.25" customHeight="1" x14ac:dyDescent="0.3">
      <c r="A683" s="5"/>
      <c r="E683" s="28"/>
      <c r="H683" s="28"/>
      <c r="K683" s="28"/>
      <c r="N683" s="28"/>
    </row>
    <row r="684" spans="1:14" ht="14.25" customHeight="1" x14ac:dyDescent="0.3">
      <c r="A684" s="5"/>
      <c r="E684" s="28"/>
      <c r="H684" s="28"/>
      <c r="K684" s="28"/>
      <c r="N684" s="28"/>
    </row>
    <row r="685" spans="1:14" ht="14.25" customHeight="1" x14ac:dyDescent="0.3">
      <c r="A685" s="5"/>
      <c r="E685" s="28"/>
      <c r="H685" s="28"/>
      <c r="K685" s="28"/>
      <c r="N685" s="28"/>
    </row>
    <row r="686" spans="1:14" ht="14.25" customHeight="1" x14ac:dyDescent="0.3">
      <c r="A686" s="5"/>
      <c r="E686" s="28"/>
      <c r="H686" s="28"/>
      <c r="K686" s="28"/>
      <c r="N686" s="28"/>
    </row>
    <row r="687" spans="1:14" ht="14.25" customHeight="1" x14ac:dyDescent="0.3">
      <c r="A687" s="5"/>
      <c r="E687" s="28"/>
      <c r="H687" s="28"/>
      <c r="K687" s="28"/>
      <c r="N687" s="28"/>
    </row>
    <row r="688" spans="1:14" ht="14.25" customHeight="1" x14ac:dyDescent="0.3">
      <c r="A688" s="5"/>
      <c r="E688" s="28"/>
      <c r="H688" s="28"/>
      <c r="K688" s="28"/>
      <c r="N688" s="28"/>
    </row>
    <row r="689" spans="1:14" ht="14.25" customHeight="1" x14ac:dyDescent="0.3">
      <c r="A689" s="5"/>
      <c r="E689" s="28"/>
      <c r="H689" s="28"/>
      <c r="K689" s="28"/>
      <c r="N689" s="28"/>
    </row>
    <row r="690" spans="1:14" ht="14.25" customHeight="1" x14ac:dyDescent="0.3">
      <c r="A690" s="5"/>
      <c r="E690" s="28"/>
      <c r="H690" s="28"/>
      <c r="K690" s="28"/>
      <c r="N690" s="28"/>
    </row>
    <row r="691" spans="1:14" ht="14.25" customHeight="1" x14ac:dyDescent="0.3">
      <c r="A691" s="5"/>
      <c r="E691" s="28"/>
      <c r="H691" s="28"/>
      <c r="K691" s="28"/>
      <c r="N691" s="28"/>
    </row>
    <row r="692" spans="1:14" ht="14.25" customHeight="1" x14ac:dyDescent="0.3">
      <c r="A692" s="5"/>
      <c r="E692" s="28"/>
      <c r="H692" s="28"/>
      <c r="K692" s="28"/>
      <c r="N692" s="28"/>
    </row>
    <row r="693" spans="1:14" ht="14.25" customHeight="1" x14ac:dyDescent="0.3">
      <c r="A693" s="5"/>
      <c r="E693" s="28"/>
      <c r="H693" s="28"/>
      <c r="K693" s="28"/>
      <c r="N693" s="28"/>
    </row>
    <row r="694" spans="1:14" ht="14.25" customHeight="1" x14ac:dyDescent="0.3">
      <c r="A694" s="5"/>
      <c r="E694" s="28"/>
      <c r="H694" s="28"/>
      <c r="K694" s="28"/>
      <c r="N694" s="28"/>
    </row>
    <row r="695" spans="1:14" ht="14.25" customHeight="1" x14ac:dyDescent="0.3">
      <c r="A695" s="5"/>
      <c r="E695" s="28"/>
      <c r="H695" s="28"/>
      <c r="K695" s="28"/>
      <c r="N695" s="28"/>
    </row>
    <row r="696" spans="1:14" ht="14.25" customHeight="1" x14ac:dyDescent="0.3">
      <c r="A696" s="5"/>
      <c r="E696" s="28"/>
      <c r="H696" s="28"/>
      <c r="K696" s="28"/>
      <c r="N696" s="28"/>
    </row>
    <row r="697" spans="1:14" ht="14.25" customHeight="1" x14ac:dyDescent="0.3">
      <c r="A697" s="5"/>
      <c r="E697" s="28"/>
      <c r="H697" s="28"/>
      <c r="K697" s="28"/>
      <c r="N697" s="28"/>
    </row>
    <row r="698" spans="1:14" ht="14.25" customHeight="1" x14ac:dyDescent="0.3">
      <c r="A698" s="5"/>
      <c r="E698" s="28"/>
      <c r="H698" s="28"/>
      <c r="K698" s="28"/>
      <c r="N698" s="28"/>
    </row>
    <row r="699" spans="1:14" ht="14.25" customHeight="1" x14ac:dyDescent="0.3">
      <c r="A699" s="5"/>
      <c r="E699" s="28"/>
      <c r="H699" s="28"/>
      <c r="K699" s="28"/>
      <c r="N699" s="28"/>
    </row>
    <row r="700" spans="1:14" ht="14.25" customHeight="1" x14ac:dyDescent="0.3">
      <c r="A700" s="5"/>
      <c r="E700" s="28"/>
      <c r="H700" s="28"/>
      <c r="K700" s="28"/>
      <c r="N700" s="28"/>
    </row>
    <row r="701" spans="1:14" ht="14.25" customHeight="1" x14ac:dyDescent="0.3">
      <c r="A701" s="5"/>
      <c r="E701" s="28"/>
      <c r="H701" s="28"/>
      <c r="K701" s="28"/>
      <c r="N701" s="28"/>
    </row>
    <row r="702" spans="1:14" ht="14.25" customHeight="1" x14ac:dyDescent="0.3">
      <c r="A702" s="5"/>
      <c r="E702" s="28"/>
      <c r="H702" s="28"/>
      <c r="K702" s="28"/>
      <c r="N702" s="28"/>
    </row>
    <row r="703" spans="1:14" ht="14.25" customHeight="1" x14ac:dyDescent="0.3">
      <c r="A703" s="5"/>
      <c r="E703" s="28"/>
      <c r="H703" s="28"/>
      <c r="K703" s="28"/>
      <c r="N703" s="28"/>
    </row>
    <row r="704" spans="1:14" ht="14.25" customHeight="1" x14ac:dyDescent="0.3">
      <c r="A704" s="5"/>
      <c r="E704" s="28"/>
      <c r="H704" s="28"/>
      <c r="K704" s="28"/>
      <c r="N704" s="28"/>
    </row>
    <row r="705" spans="1:14" ht="14.25" customHeight="1" x14ac:dyDescent="0.3">
      <c r="A705" s="5"/>
      <c r="E705" s="28"/>
      <c r="H705" s="28"/>
      <c r="K705" s="28"/>
      <c r="N705" s="28"/>
    </row>
    <row r="706" spans="1:14" ht="14.25" customHeight="1" x14ac:dyDescent="0.3">
      <c r="A706" s="5"/>
      <c r="E706" s="28"/>
      <c r="H706" s="28"/>
      <c r="K706" s="28"/>
      <c r="N706" s="28"/>
    </row>
    <row r="707" spans="1:14" ht="14.25" customHeight="1" x14ac:dyDescent="0.3">
      <c r="A707" s="5"/>
      <c r="E707" s="28"/>
      <c r="H707" s="28"/>
      <c r="K707" s="28"/>
      <c r="N707" s="28"/>
    </row>
    <row r="708" spans="1:14" ht="14.25" customHeight="1" x14ac:dyDescent="0.3">
      <c r="A708" s="5"/>
      <c r="E708" s="28"/>
      <c r="H708" s="28"/>
      <c r="K708" s="28"/>
      <c r="N708" s="28"/>
    </row>
    <row r="709" spans="1:14" ht="14.25" customHeight="1" x14ac:dyDescent="0.3">
      <c r="A709" s="5"/>
      <c r="E709" s="28"/>
      <c r="H709" s="28"/>
      <c r="K709" s="28"/>
      <c r="N709" s="28"/>
    </row>
    <row r="710" spans="1:14" ht="14.25" customHeight="1" x14ac:dyDescent="0.3">
      <c r="A710" s="5"/>
      <c r="E710" s="28"/>
      <c r="H710" s="28"/>
      <c r="K710" s="28"/>
      <c r="N710" s="28"/>
    </row>
    <row r="711" spans="1:14" ht="14.25" customHeight="1" x14ac:dyDescent="0.3">
      <c r="A711" s="5"/>
      <c r="E711" s="28"/>
      <c r="H711" s="28"/>
      <c r="K711" s="28"/>
      <c r="N711" s="28"/>
    </row>
    <row r="712" spans="1:14" ht="14.25" customHeight="1" x14ac:dyDescent="0.3">
      <c r="A712" s="5"/>
      <c r="E712" s="28"/>
      <c r="H712" s="28"/>
      <c r="K712" s="28"/>
      <c r="N712" s="28"/>
    </row>
    <row r="713" spans="1:14" ht="14.25" customHeight="1" x14ac:dyDescent="0.3">
      <c r="A713" s="5"/>
      <c r="E713" s="28"/>
      <c r="H713" s="28"/>
      <c r="K713" s="28"/>
      <c r="N713" s="28"/>
    </row>
    <row r="714" spans="1:14" ht="14.25" customHeight="1" x14ac:dyDescent="0.3">
      <c r="A714" s="5"/>
      <c r="E714" s="28"/>
      <c r="H714" s="28"/>
      <c r="K714" s="28"/>
      <c r="N714" s="28"/>
    </row>
    <row r="715" spans="1:14" ht="14.25" customHeight="1" x14ac:dyDescent="0.3">
      <c r="A715" s="5"/>
      <c r="E715" s="28"/>
      <c r="H715" s="28"/>
      <c r="K715" s="28"/>
      <c r="N715" s="28"/>
    </row>
    <row r="716" spans="1:14" ht="14.25" customHeight="1" x14ac:dyDescent="0.3">
      <c r="A716" s="5"/>
      <c r="E716" s="28"/>
      <c r="H716" s="28"/>
      <c r="K716" s="28"/>
      <c r="N716" s="28"/>
    </row>
    <row r="717" spans="1:14" ht="14.25" customHeight="1" x14ac:dyDescent="0.3">
      <c r="A717" s="5"/>
      <c r="E717" s="28"/>
      <c r="H717" s="28"/>
      <c r="K717" s="28"/>
      <c r="N717" s="28"/>
    </row>
    <row r="718" spans="1:14" ht="14.25" customHeight="1" x14ac:dyDescent="0.3">
      <c r="A718" s="5"/>
      <c r="E718" s="28"/>
      <c r="H718" s="28"/>
      <c r="K718" s="28"/>
      <c r="N718" s="28"/>
    </row>
    <row r="719" spans="1:14" ht="14.25" customHeight="1" x14ac:dyDescent="0.3">
      <c r="A719" s="5"/>
      <c r="E719" s="28"/>
      <c r="H719" s="28"/>
      <c r="K719" s="28"/>
      <c r="N719" s="28"/>
    </row>
    <row r="720" spans="1:14" ht="14.25" customHeight="1" x14ac:dyDescent="0.3">
      <c r="A720" s="5"/>
      <c r="E720" s="28"/>
      <c r="H720" s="28"/>
      <c r="K720" s="28"/>
      <c r="N720" s="28"/>
    </row>
    <row r="721" spans="1:14" ht="14.25" customHeight="1" x14ac:dyDescent="0.3">
      <c r="A721" s="5"/>
      <c r="E721" s="28"/>
      <c r="H721" s="28"/>
      <c r="K721" s="28"/>
      <c r="N721" s="28"/>
    </row>
    <row r="722" spans="1:14" ht="14.25" customHeight="1" x14ac:dyDescent="0.3">
      <c r="A722" s="5"/>
      <c r="E722" s="28"/>
      <c r="H722" s="28"/>
      <c r="K722" s="28"/>
      <c r="N722" s="28"/>
    </row>
    <row r="723" spans="1:14" ht="14.25" customHeight="1" x14ac:dyDescent="0.3">
      <c r="A723" s="5"/>
      <c r="E723" s="28"/>
      <c r="H723" s="28"/>
      <c r="K723" s="28"/>
      <c r="N723" s="28"/>
    </row>
    <row r="724" spans="1:14" ht="14.25" customHeight="1" x14ac:dyDescent="0.3">
      <c r="A724" s="5"/>
      <c r="E724" s="28"/>
      <c r="H724" s="28"/>
      <c r="K724" s="28"/>
      <c r="N724" s="28"/>
    </row>
    <row r="725" spans="1:14" ht="14.25" customHeight="1" x14ac:dyDescent="0.3">
      <c r="A725" s="5"/>
      <c r="E725" s="28"/>
      <c r="H725" s="28"/>
      <c r="K725" s="28"/>
      <c r="N725" s="28"/>
    </row>
    <row r="726" spans="1:14" ht="14.25" customHeight="1" x14ac:dyDescent="0.3">
      <c r="A726" s="5"/>
      <c r="E726" s="28"/>
      <c r="H726" s="28"/>
      <c r="K726" s="28"/>
      <c r="N726" s="28"/>
    </row>
    <row r="727" spans="1:14" ht="14.25" customHeight="1" x14ac:dyDescent="0.3">
      <c r="A727" s="5"/>
      <c r="E727" s="28"/>
      <c r="H727" s="28"/>
      <c r="K727" s="28"/>
      <c r="N727" s="28"/>
    </row>
    <row r="728" spans="1:14" ht="14.25" customHeight="1" x14ac:dyDescent="0.3">
      <c r="A728" s="5"/>
      <c r="E728" s="28"/>
      <c r="H728" s="28"/>
      <c r="K728" s="28"/>
      <c r="N728" s="28"/>
    </row>
    <row r="729" spans="1:14" ht="14.25" customHeight="1" x14ac:dyDescent="0.3">
      <c r="A729" s="5"/>
      <c r="E729" s="28"/>
      <c r="H729" s="28"/>
      <c r="K729" s="28"/>
      <c r="N729" s="28"/>
    </row>
    <row r="730" spans="1:14" ht="14.25" customHeight="1" x14ac:dyDescent="0.3">
      <c r="A730" s="5"/>
      <c r="E730" s="28"/>
      <c r="H730" s="28"/>
      <c r="K730" s="28"/>
      <c r="N730" s="28"/>
    </row>
    <row r="731" spans="1:14" ht="14.25" customHeight="1" x14ac:dyDescent="0.3">
      <c r="A731" s="5"/>
      <c r="E731" s="28"/>
      <c r="H731" s="28"/>
      <c r="K731" s="28"/>
      <c r="N731" s="28"/>
    </row>
    <row r="732" spans="1:14" ht="14.25" customHeight="1" x14ac:dyDescent="0.3">
      <c r="A732" s="5"/>
      <c r="E732" s="28"/>
      <c r="H732" s="28"/>
      <c r="K732" s="28"/>
      <c r="N732" s="28"/>
    </row>
    <row r="733" spans="1:14" ht="14.25" customHeight="1" x14ac:dyDescent="0.3">
      <c r="A733" s="5"/>
      <c r="E733" s="28"/>
      <c r="H733" s="28"/>
      <c r="K733" s="28"/>
      <c r="N733" s="28"/>
    </row>
    <row r="734" spans="1:14" ht="14.25" customHeight="1" x14ac:dyDescent="0.3">
      <c r="A734" s="5"/>
      <c r="E734" s="28"/>
      <c r="H734" s="28"/>
      <c r="K734" s="28"/>
      <c r="N734" s="28"/>
    </row>
    <row r="735" spans="1:14" ht="14.25" customHeight="1" x14ac:dyDescent="0.3">
      <c r="A735" s="5"/>
      <c r="E735" s="28"/>
      <c r="H735" s="28"/>
      <c r="K735" s="28"/>
      <c r="N735" s="28"/>
    </row>
    <row r="736" spans="1:14" ht="14.25" customHeight="1" x14ac:dyDescent="0.3">
      <c r="A736" s="5"/>
      <c r="E736" s="28"/>
      <c r="H736" s="28"/>
      <c r="K736" s="28"/>
      <c r="N736" s="28"/>
    </row>
    <row r="737" spans="1:14" ht="14.25" customHeight="1" x14ac:dyDescent="0.3">
      <c r="A737" s="5"/>
      <c r="E737" s="28"/>
      <c r="H737" s="28"/>
      <c r="K737" s="28"/>
      <c r="N737" s="28"/>
    </row>
    <row r="738" spans="1:14" ht="14.25" customHeight="1" x14ac:dyDescent="0.3">
      <c r="A738" s="5"/>
      <c r="E738" s="28"/>
      <c r="H738" s="28"/>
      <c r="K738" s="28"/>
      <c r="N738" s="28"/>
    </row>
    <row r="739" spans="1:14" ht="14.25" customHeight="1" x14ac:dyDescent="0.3">
      <c r="A739" s="5"/>
      <c r="E739" s="28"/>
      <c r="H739" s="28"/>
      <c r="K739" s="28"/>
      <c r="N739" s="28"/>
    </row>
    <row r="740" spans="1:14" ht="14.25" customHeight="1" x14ac:dyDescent="0.3">
      <c r="A740" s="5"/>
      <c r="E740" s="28"/>
      <c r="H740" s="28"/>
      <c r="K740" s="28"/>
      <c r="N740" s="28"/>
    </row>
    <row r="741" spans="1:14" ht="14.25" customHeight="1" x14ac:dyDescent="0.3">
      <c r="A741" s="5"/>
      <c r="E741" s="28"/>
      <c r="H741" s="28"/>
      <c r="K741" s="28"/>
      <c r="N741" s="28"/>
    </row>
    <row r="742" spans="1:14" ht="14.25" customHeight="1" x14ac:dyDescent="0.3">
      <c r="A742" s="5"/>
      <c r="E742" s="28"/>
      <c r="H742" s="28"/>
      <c r="K742" s="28"/>
      <c r="N742" s="28"/>
    </row>
    <row r="743" spans="1:14" ht="14.25" customHeight="1" x14ac:dyDescent="0.3">
      <c r="A743" s="5"/>
      <c r="E743" s="28"/>
      <c r="H743" s="28"/>
      <c r="K743" s="28"/>
      <c r="N743" s="28"/>
    </row>
    <row r="744" spans="1:14" ht="14.25" customHeight="1" x14ac:dyDescent="0.3">
      <c r="A744" s="5"/>
      <c r="E744" s="28"/>
      <c r="H744" s="28"/>
      <c r="K744" s="28"/>
      <c r="N744" s="28"/>
    </row>
    <row r="745" spans="1:14" ht="14.25" customHeight="1" x14ac:dyDescent="0.3">
      <c r="A745" s="5"/>
      <c r="E745" s="28"/>
      <c r="H745" s="28"/>
      <c r="K745" s="28"/>
      <c r="N745" s="28"/>
    </row>
    <row r="746" spans="1:14" ht="14.25" customHeight="1" x14ac:dyDescent="0.3">
      <c r="A746" s="5"/>
      <c r="E746" s="28"/>
      <c r="H746" s="28"/>
      <c r="K746" s="28"/>
      <c r="N746" s="28"/>
    </row>
    <row r="747" spans="1:14" ht="14.25" customHeight="1" x14ac:dyDescent="0.3">
      <c r="A747" s="5"/>
      <c r="E747" s="28"/>
      <c r="H747" s="28"/>
      <c r="K747" s="28"/>
      <c r="N747" s="28"/>
    </row>
    <row r="748" spans="1:14" ht="14.25" customHeight="1" x14ac:dyDescent="0.3">
      <c r="A748" s="5"/>
      <c r="E748" s="28"/>
      <c r="H748" s="28"/>
      <c r="K748" s="28"/>
      <c r="N748" s="28"/>
    </row>
    <row r="749" spans="1:14" ht="14.25" customHeight="1" x14ac:dyDescent="0.3">
      <c r="A749" s="5"/>
      <c r="E749" s="28"/>
      <c r="H749" s="28"/>
      <c r="K749" s="28"/>
      <c r="N749" s="28"/>
    </row>
    <row r="750" spans="1:14" ht="14.25" customHeight="1" x14ac:dyDescent="0.3">
      <c r="A750" s="5"/>
      <c r="E750" s="28"/>
      <c r="H750" s="28"/>
      <c r="K750" s="28"/>
      <c r="N750" s="28"/>
    </row>
    <row r="751" spans="1:14" ht="14.25" customHeight="1" x14ac:dyDescent="0.3">
      <c r="A751" s="5"/>
      <c r="E751" s="28"/>
      <c r="H751" s="28"/>
      <c r="K751" s="28"/>
      <c r="N751" s="28"/>
    </row>
    <row r="752" spans="1:14" ht="14.25" customHeight="1" x14ac:dyDescent="0.3">
      <c r="A752" s="5"/>
      <c r="E752" s="28"/>
      <c r="H752" s="28"/>
      <c r="K752" s="28"/>
      <c r="N752" s="28"/>
    </row>
    <row r="753" spans="1:14" ht="14.25" customHeight="1" x14ac:dyDescent="0.3">
      <c r="A753" s="5"/>
      <c r="E753" s="28"/>
      <c r="H753" s="28"/>
      <c r="K753" s="28"/>
      <c r="N753" s="28"/>
    </row>
    <row r="754" spans="1:14" ht="14.25" customHeight="1" x14ac:dyDescent="0.3">
      <c r="A754" s="5"/>
      <c r="E754" s="28"/>
      <c r="H754" s="28"/>
      <c r="K754" s="28"/>
      <c r="N754" s="28"/>
    </row>
    <row r="755" spans="1:14" ht="14.25" customHeight="1" x14ac:dyDescent="0.3">
      <c r="A755" s="5"/>
      <c r="E755" s="28"/>
      <c r="H755" s="28"/>
      <c r="K755" s="28"/>
      <c r="N755" s="28"/>
    </row>
    <row r="756" spans="1:14" ht="14.25" customHeight="1" x14ac:dyDescent="0.3">
      <c r="A756" s="5"/>
      <c r="E756" s="28"/>
      <c r="H756" s="28"/>
      <c r="K756" s="28"/>
      <c r="N756" s="28"/>
    </row>
    <row r="757" spans="1:14" ht="14.25" customHeight="1" x14ac:dyDescent="0.3">
      <c r="A757" s="5"/>
      <c r="E757" s="28"/>
      <c r="H757" s="28"/>
      <c r="K757" s="28"/>
      <c r="N757" s="28"/>
    </row>
    <row r="758" spans="1:14" ht="14.25" customHeight="1" x14ac:dyDescent="0.3">
      <c r="A758" s="5"/>
      <c r="E758" s="28"/>
      <c r="H758" s="28"/>
      <c r="K758" s="28"/>
      <c r="N758" s="28"/>
    </row>
    <row r="759" spans="1:14" ht="14.25" customHeight="1" x14ac:dyDescent="0.3">
      <c r="A759" s="5"/>
      <c r="E759" s="28"/>
      <c r="H759" s="28"/>
      <c r="K759" s="28"/>
      <c r="N759" s="28"/>
    </row>
    <row r="760" spans="1:14" ht="14.25" customHeight="1" x14ac:dyDescent="0.3">
      <c r="A760" s="5"/>
      <c r="E760" s="28"/>
      <c r="H760" s="28"/>
      <c r="K760" s="28"/>
      <c r="N760" s="28"/>
    </row>
    <row r="761" spans="1:14" ht="14.25" customHeight="1" x14ac:dyDescent="0.3">
      <c r="A761" s="5"/>
      <c r="E761" s="28"/>
      <c r="H761" s="28"/>
      <c r="K761" s="28"/>
      <c r="N761" s="28"/>
    </row>
    <row r="762" spans="1:14" ht="14.25" customHeight="1" x14ac:dyDescent="0.3">
      <c r="A762" s="5"/>
      <c r="E762" s="28"/>
      <c r="H762" s="28"/>
      <c r="K762" s="28"/>
      <c r="N762" s="28"/>
    </row>
    <row r="763" spans="1:14" ht="14.25" customHeight="1" x14ac:dyDescent="0.3">
      <c r="A763" s="5"/>
      <c r="E763" s="28"/>
      <c r="H763" s="28"/>
      <c r="K763" s="28"/>
      <c r="N763" s="28"/>
    </row>
    <row r="764" spans="1:14" ht="14.25" customHeight="1" x14ac:dyDescent="0.3">
      <c r="A764" s="5"/>
      <c r="E764" s="28"/>
      <c r="H764" s="28"/>
      <c r="K764" s="28"/>
      <c r="N764" s="28"/>
    </row>
    <row r="765" spans="1:14" ht="14.25" customHeight="1" x14ac:dyDescent="0.3">
      <c r="A765" s="5"/>
      <c r="E765" s="28"/>
      <c r="H765" s="28"/>
      <c r="K765" s="28"/>
      <c r="N765" s="28"/>
    </row>
    <row r="766" spans="1:14" ht="14.25" customHeight="1" x14ac:dyDescent="0.3">
      <c r="A766" s="5"/>
      <c r="E766" s="28"/>
      <c r="H766" s="28"/>
      <c r="K766" s="28"/>
      <c r="N766" s="28"/>
    </row>
    <row r="767" spans="1:14" ht="14.25" customHeight="1" x14ac:dyDescent="0.3">
      <c r="A767" s="5"/>
      <c r="E767" s="28"/>
      <c r="H767" s="28"/>
      <c r="K767" s="28"/>
      <c r="N767" s="28"/>
    </row>
    <row r="768" spans="1:14" ht="14.25" customHeight="1" x14ac:dyDescent="0.3">
      <c r="A768" s="5"/>
      <c r="E768" s="28"/>
      <c r="H768" s="28"/>
      <c r="K768" s="28"/>
      <c r="N768" s="28"/>
    </row>
    <row r="769" spans="1:14" ht="14.25" customHeight="1" x14ac:dyDescent="0.3">
      <c r="A769" s="5"/>
      <c r="E769" s="28"/>
      <c r="H769" s="28"/>
      <c r="K769" s="28"/>
      <c r="N769" s="28"/>
    </row>
    <row r="770" spans="1:14" ht="14.25" customHeight="1" x14ac:dyDescent="0.3">
      <c r="A770" s="5"/>
      <c r="E770" s="28"/>
      <c r="H770" s="28"/>
      <c r="K770" s="28"/>
      <c r="N770" s="28"/>
    </row>
    <row r="771" spans="1:14" ht="14.25" customHeight="1" x14ac:dyDescent="0.3">
      <c r="A771" s="5"/>
      <c r="E771" s="28"/>
      <c r="H771" s="28"/>
      <c r="K771" s="28"/>
      <c r="N771" s="28"/>
    </row>
    <row r="772" spans="1:14" ht="14.25" customHeight="1" x14ac:dyDescent="0.3">
      <c r="A772" s="5"/>
      <c r="E772" s="28"/>
      <c r="H772" s="28"/>
      <c r="K772" s="28"/>
      <c r="N772" s="28"/>
    </row>
    <row r="773" spans="1:14" ht="14.25" customHeight="1" x14ac:dyDescent="0.3">
      <c r="A773" s="5"/>
      <c r="E773" s="28"/>
      <c r="H773" s="28"/>
      <c r="K773" s="28"/>
      <c r="N773" s="28"/>
    </row>
    <row r="774" spans="1:14" ht="14.25" customHeight="1" x14ac:dyDescent="0.3">
      <c r="A774" s="5"/>
      <c r="E774" s="28"/>
      <c r="H774" s="28"/>
      <c r="K774" s="28"/>
      <c r="N774" s="28"/>
    </row>
    <row r="775" spans="1:14" ht="14.25" customHeight="1" x14ac:dyDescent="0.3">
      <c r="A775" s="5"/>
      <c r="E775" s="28"/>
      <c r="H775" s="28"/>
      <c r="K775" s="28"/>
      <c r="N775" s="28"/>
    </row>
    <row r="776" spans="1:14" ht="14.25" customHeight="1" x14ac:dyDescent="0.3">
      <c r="A776" s="5"/>
      <c r="E776" s="28"/>
      <c r="H776" s="28"/>
      <c r="K776" s="28"/>
      <c r="N776" s="28"/>
    </row>
    <row r="777" spans="1:14" ht="14.25" customHeight="1" x14ac:dyDescent="0.3">
      <c r="A777" s="5"/>
      <c r="E777" s="28"/>
      <c r="H777" s="28"/>
      <c r="K777" s="28"/>
      <c r="N777" s="28"/>
    </row>
    <row r="778" spans="1:14" ht="14.25" customHeight="1" x14ac:dyDescent="0.3">
      <c r="A778" s="5"/>
      <c r="E778" s="28"/>
      <c r="H778" s="28"/>
      <c r="K778" s="28"/>
      <c r="N778" s="28"/>
    </row>
    <row r="779" spans="1:14" ht="14.25" customHeight="1" x14ac:dyDescent="0.3">
      <c r="A779" s="5"/>
      <c r="E779" s="28"/>
      <c r="H779" s="28"/>
      <c r="K779" s="28"/>
      <c r="N779" s="28"/>
    </row>
    <row r="780" spans="1:14" ht="14.25" customHeight="1" x14ac:dyDescent="0.3">
      <c r="A780" s="5"/>
      <c r="E780" s="28"/>
      <c r="H780" s="28"/>
      <c r="K780" s="28"/>
      <c r="N780" s="28"/>
    </row>
    <row r="781" spans="1:14" ht="14.25" customHeight="1" x14ac:dyDescent="0.3">
      <c r="A781" s="5"/>
      <c r="E781" s="28"/>
      <c r="H781" s="28"/>
      <c r="K781" s="28"/>
      <c r="N781" s="28"/>
    </row>
    <row r="782" spans="1:14" ht="14.25" customHeight="1" x14ac:dyDescent="0.3">
      <c r="A782" s="5"/>
      <c r="E782" s="28"/>
      <c r="H782" s="28"/>
      <c r="K782" s="28"/>
      <c r="N782" s="28"/>
    </row>
    <row r="783" spans="1:14" ht="14.25" customHeight="1" x14ac:dyDescent="0.3">
      <c r="A783" s="5"/>
      <c r="E783" s="28"/>
      <c r="H783" s="28"/>
      <c r="K783" s="28"/>
      <c r="N783" s="28"/>
    </row>
    <row r="784" spans="1:14" ht="14.25" customHeight="1" x14ac:dyDescent="0.3">
      <c r="A784" s="5"/>
      <c r="E784" s="28"/>
      <c r="H784" s="28"/>
      <c r="K784" s="28"/>
      <c r="N784" s="28"/>
    </row>
    <row r="785" spans="1:14" ht="14.25" customHeight="1" x14ac:dyDescent="0.3">
      <c r="A785" s="5"/>
      <c r="E785" s="28"/>
      <c r="H785" s="28"/>
      <c r="K785" s="28"/>
      <c r="N785" s="28"/>
    </row>
    <row r="786" spans="1:14" ht="14.25" customHeight="1" x14ac:dyDescent="0.3">
      <c r="A786" s="5"/>
      <c r="E786" s="28"/>
      <c r="H786" s="28"/>
      <c r="K786" s="28"/>
      <c r="N786" s="28"/>
    </row>
    <row r="787" spans="1:14" ht="14.25" customHeight="1" x14ac:dyDescent="0.3">
      <c r="A787" s="5"/>
      <c r="E787" s="28"/>
      <c r="H787" s="28"/>
      <c r="K787" s="28"/>
      <c r="N787" s="28"/>
    </row>
    <row r="788" spans="1:14" ht="14.25" customHeight="1" x14ac:dyDescent="0.3">
      <c r="A788" s="5"/>
      <c r="E788" s="28"/>
      <c r="H788" s="28"/>
      <c r="K788" s="28"/>
      <c r="N788" s="28"/>
    </row>
    <row r="789" spans="1:14" ht="14.25" customHeight="1" x14ac:dyDescent="0.3">
      <c r="A789" s="5"/>
      <c r="E789" s="28"/>
      <c r="H789" s="28"/>
      <c r="K789" s="28"/>
      <c r="N789" s="28"/>
    </row>
    <row r="790" spans="1:14" ht="14.25" customHeight="1" x14ac:dyDescent="0.3">
      <c r="A790" s="5"/>
      <c r="E790" s="28"/>
      <c r="H790" s="28"/>
      <c r="K790" s="28"/>
      <c r="N790" s="28"/>
    </row>
    <row r="791" spans="1:14" ht="14.25" customHeight="1" x14ac:dyDescent="0.3">
      <c r="A791" s="5"/>
      <c r="E791" s="28"/>
      <c r="H791" s="28"/>
      <c r="K791" s="28"/>
      <c r="N791" s="28"/>
    </row>
    <row r="792" spans="1:14" ht="14.25" customHeight="1" x14ac:dyDescent="0.3">
      <c r="A792" s="5"/>
      <c r="E792" s="28"/>
      <c r="H792" s="28"/>
      <c r="K792" s="28"/>
      <c r="N792" s="28"/>
    </row>
    <row r="793" spans="1:14" ht="14.25" customHeight="1" x14ac:dyDescent="0.3">
      <c r="A793" s="5"/>
      <c r="E793" s="28"/>
      <c r="H793" s="28"/>
      <c r="K793" s="28"/>
      <c r="N793" s="28"/>
    </row>
    <row r="794" spans="1:14" ht="14.25" customHeight="1" x14ac:dyDescent="0.3">
      <c r="A794" s="5"/>
      <c r="E794" s="28"/>
      <c r="H794" s="28"/>
      <c r="K794" s="28"/>
      <c r="N794" s="28"/>
    </row>
    <row r="795" spans="1:14" ht="14.25" customHeight="1" x14ac:dyDescent="0.3">
      <c r="A795" s="5"/>
      <c r="E795" s="28"/>
      <c r="H795" s="28"/>
      <c r="K795" s="28"/>
      <c r="N795" s="28"/>
    </row>
    <row r="796" spans="1:14" ht="14.25" customHeight="1" x14ac:dyDescent="0.3">
      <c r="A796" s="5"/>
      <c r="E796" s="28"/>
      <c r="H796" s="28"/>
      <c r="K796" s="28"/>
      <c r="N796" s="28"/>
    </row>
    <row r="797" spans="1:14" ht="14.25" customHeight="1" x14ac:dyDescent="0.3">
      <c r="A797" s="5"/>
      <c r="E797" s="28"/>
      <c r="H797" s="28"/>
      <c r="K797" s="28"/>
      <c r="N797" s="28"/>
    </row>
    <row r="798" spans="1:14" ht="14.25" customHeight="1" x14ac:dyDescent="0.3">
      <c r="A798" s="5"/>
      <c r="E798" s="28"/>
      <c r="H798" s="28"/>
      <c r="K798" s="28"/>
      <c r="N798" s="28"/>
    </row>
    <row r="799" spans="1:14" ht="14.25" customHeight="1" x14ac:dyDescent="0.3">
      <c r="A799" s="5"/>
      <c r="E799" s="28"/>
      <c r="H799" s="28"/>
      <c r="K799" s="28"/>
      <c r="N799" s="28"/>
    </row>
    <row r="800" spans="1:14" ht="14.25" customHeight="1" x14ac:dyDescent="0.3">
      <c r="A800" s="5"/>
      <c r="E800" s="28"/>
      <c r="H800" s="28"/>
      <c r="K800" s="28"/>
      <c r="N800" s="28"/>
    </row>
    <row r="801" spans="1:14" ht="14.25" customHeight="1" x14ac:dyDescent="0.3">
      <c r="A801" s="5"/>
      <c r="E801" s="28"/>
      <c r="H801" s="28"/>
      <c r="K801" s="28"/>
      <c r="N801" s="28"/>
    </row>
    <row r="802" spans="1:14" ht="14.25" customHeight="1" x14ac:dyDescent="0.3">
      <c r="A802" s="5"/>
      <c r="E802" s="28"/>
      <c r="H802" s="28"/>
      <c r="K802" s="28"/>
      <c r="N802" s="28"/>
    </row>
    <row r="803" spans="1:14" ht="14.25" customHeight="1" x14ac:dyDescent="0.3">
      <c r="A803" s="5"/>
      <c r="E803" s="28"/>
      <c r="H803" s="28"/>
      <c r="K803" s="28"/>
      <c r="N803" s="28"/>
    </row>
    <row r="804" spans="1:14" ht="14.25" customHeight="1" x14ac:dyDescent="0.3">
      <c r="A804" s="5"/>
      <c r="E804" s="28"/>
      <c r="H804" s="28"/>
      <c r="K804" s="28"/>
      <c r="N804" s="28"/>
    </row>
    <row r="805" spans="1:14" ht="14.25" customHeight="1" x14ac:dyDescent="0.3">
      <c r="A805" s="5"/>
      <c r="E805" s="28"/>
      <c r="H805" s="28"/>
      <c r="K805" s="28"/>
      <c r="N805" s="28"/>
    </row>
    <row r="806" spans="1:14" ht="14.25" customHeight="1" x14ac:dyDescent="0.3">
      <c r="A806" s="5"/>
      <c r="E806" s="28"/>
      <c r="H806" s="28"/>
      <c r="K806" s="28"/>
      <c r="N806" s="28"/>
    </row>
    <row r="807" spans="1:14" ht="14.25" customHeight="1" x14ac:dyDescent="0.3">
      <c r="A807" s="5"/>
      <c r="E807" s="28"/>
      <c r="H807" s="28"/>
      <c r="K807" s="28"/>
      <c r="N807" s="28"/>
    </row>
    <row r="808" spans="1:14" ht="14.25" customHeight="1" x14ac:dyDescent="0.3">
      <c r="A808" s="5"/>
      <c r="E808" s="28"/>
      <c r="H808" s="28"/>
      <c r="K808" s="28"/>
      <c r="N808" s="28"/>
    </row>
    <row r="809" spans="1:14" ht="14.25" customHeight="1" x14ac:dyDescent="0.3">
      <c r="A809" s="5"/>
      <c r="E809" s="28"/>
      <c r="H809" s="28"/>
      <c r="K809" s="28"/>
      <c r="N809" s="28"/>
    </row>
    <row r="810" spans="1:14" ht="14.25" customHeight="1" x14ac:dyDescent="0.3">
      <c r="A810" s="5"/>
      <c r="E810" s="28"/>
      <c r="H810" s="28"/>
      <c r="K810" s="28"/>
      <c r="N810" s="28"/>
    </row>
    <row r="811" spans="1:14" ht="14.25" customHeight="1" x14ac:dyDescent="0.3">
      <c r="A811" s="5"/>
      <c r="E811" s="28"/>
      <c r="H811" s="28"/>
      <c r="K811" s="28"/>
      <c r="N811" s="28"/>
    </row>
    <row r="812" spans="1:14" ht="14.25" customHeight="1" x14ac:dyDescent="0.3">
      <c r="A812" s="5"/>
      <c r="E812" s="28"/>
      <c r="H812" s="28"/>
      <c r="K812" s="28"/>
      <c r="N812" s="28"/>
    </row>
    <row r="813" spans="1:14" ht="14.25" customHeight="1" x14ac:dyDescent="0.3">
      <c r="A813" s="5"/>
      <c r="E813" s="28"/>
      <c r="H813" s="28"/>
      <c r="K813" s="28"/>
      <c r="N813" s="28"/>
    </row>
    <row r="814" spans="1:14" ht="14.25" customHeight="1" x14ac:dyDescent="0.3">
      <c r="A814" s="5"/>
      <c r="E814" s="28"/>
      <c r="H814" s="28"/>
      <c r="K814" s="28"/>
      <c r="N814" s="28"/>
    </row>
    <row r="815" spans="1:14" ht="14.25" customHeight="1" x14ac:dyDescent="0.3">
      <c r="A815" s="5"/>
      <c r="E815" s="28"/>
      <c r="H815" s="28"/>
      <c r="K815" s="28"/>
      <c r="N815" s="28"/>
    </row>
    <row r="816" spans="1:14" ht="14.25" customHeight="1" x14ac:dyDescent="0.3">
      <c r="A816" s="5"/>
      <c r="E816" s="28"/>
      <c r="H816" s="28"/>
      <c r="K816" s="28"/>
      <c r="N816" s="28"/>
    </row>
    <row r="817" spans="1:14" ht="14.25" customHeight="1" x14ac:dyDescent="0.3">
      <c r="A817" s="5"/>
      <c r="E817" s="28"/>
      <c r="H817" s="28"/>
      <c r="K817" s="28"/>
      <c r="N817" s="28"/>
    </row>
    <row r="818" spans="1:14" ht="14.25" customHeight="1" x14ac:dyDescent="0.3">
      <c r="A818" s="5"/>
      <c r="E818" s="28"/>
      <c r="H818" s="28"/>
      <c r="K818" s="28"/>
      <c r="N818" s="28"/>
    </row>
    <row r="819" spans="1:14" ht="14.25" customHeight="1" x14ac:dyDescent="0.3">
      <c r="A819" s="5"/>
      <c r="E819" s="28"/>
      <c r="H819" s="28"/>
      <c r="K819" s="28"/>
      <c r="N819" s="28"/>
    </row>
    <row r="820" spans="1:14" ht="14.25" customHeight="1" x14ac:dyDescent="0.3">
      <c r="A820" s="5"/>
      <c r="E820" s="28"/>
      <c r="H820" s="28"/>
      <c r="K820" s="28"/>
      <c r="N820" s="28"/>
    </row>
    <row r="821" spans="1:14" ht="14.25" customHeight="1" x14ac:dyDescent="0.3">
      <c r="A821" s="5"/>
      <c r="E821" s="28"/>
      <c r="H821" s="28"/>
      <c r="K821" s="28"/>
      <c r="N821" s="28"/>
    </row>
    <row r="822" spans="1:14" ht="14.25" customHeight="1" x14ac:dyDescent="0.3">
      <c r="A822" s="5"/>
      <c r="E822" s="28"/>
      <c r="H822" s="28"/>
      <c r="K822" s="28"/>
      <c r="N822" s="28"/>
    </row>
    <row r="823" spans="1:14" ht="14.25" customHeight="1" x14ac:dyDescent="0.3">
      <c r="A823" s="5"/>
      <c r="E823" s="28"/>
      <c r="H823" s="28"/>
      <c r="K823" s="28"/>
      <c r="N823" s="28"/>
    </row>
    <row r="824" spans="1:14" ht="14.25" customHeight="1" x14ac:dyDescent="0.3">
      <c r="A824" s="5"/>
      <c r="E824" s="28"/>
      <c r="H824" s="28"/>
      <c r="K824" s="28"/>
      <c r="N824" s="28"/>
    </row>
    <row r="825" spans="1:14" ht="14.25" customHeight="1" x14ac:dyDescent="0.3">
      <c r="A825" s="5"/>
      <c r="E825" s="28"/>
      <c r="H825" s="28"/>
      <c r="K825" s="28"/>
      <c r="N825" s="28"/>
    </row>
    <row r="826" spans="1:14" ht="14.25" customHeight="1" x14ac:dyDescent="0.3">
      <c r="A826" s="5"/>
      <c r="E826" s="28"/>
      <c r="H826" s="28"/>
      <c r="K826" s="28"/>
      <c r="N826" s="28"/>
    </row>
    <row r="827" spans="1:14" ht="14.25" customHeight="1" x14ac:dyDescent="0.3">
      <c r="A827" s="5"/>
      <c r="E827" s="28"/>
      <c r="H827" s="28"/>
      <c r="K827" s="28"/>
      <c r="N827" s="28"/>
    </row>
    <row r="828" spans="1:14" ht="14.25" customHeight="1" x14ac:dyDescent="0.3">
      <c r="A828" s="5"/>
      <c r="E828" s="28"/>
      <c r="H828" s="28"/>
      <c r="K828" s="28"/>
      <c r="N828" s="28"/>
    </row>
    <row r="829" spans="1:14" ht="14.25" customHeight="1" x14ac:dyDescent="0.3">
      <c r="A829" s="5"/>
      <c r="E829" s="28"/>
      <c r="H829" s="28"/>
      <c r="K829" s="28"/>
      <c r="N829" s="28"/>
    </row>
    <row r="830" spans="1:14" ht="14.25" customHeight="1" x14ac:dyDescent="0.3">
      <c r="A830" s="5"/>
      <c r="E830" s="28"/>
      <c r="H830" s="28"/>
      <c r="K830" s="28"/>
      <c r="N830" s="28"/>
    </row>
    <row r="831" spans="1:14" ht="14.25" customHeight="1" x14ac:dyDescent="0.3">
      <c r="A831" s="5"/>
      <c r="E831" s="28"/>
      <c r="H831" s="28"/>
      <c r="K831" s="28"/>
      <c r="N831" s="28"/>
    </row>
    <row r="832" spans="1:14" ht="14.25" customHeight="1" x14ac:dyDescent="0.3">
      <c r="A832" s="5"/>
      <c r="E832" s="28"/>
      <c r="H832" s="28"/>
      <c r="K832" s="28"/>
      <c r="N832" s="28"/>
    </row>
    <row r="833" spans="1:14" ht="14.25" customHeight="1" x14ac:dyDescent="0.3">
      <c r="A833" s="5"/>
      <c r="E833" s="28"/>
      <c r="H833" s="28"/>
      <c r="K833" s="28"/>
      <c r="N833" s="28"/>
    </row>
    <row r="834" spans="1:14" ht="14.25" customHeight="1" x14ac:dyDescent="0.3">
      <c r="A834" s="5"/>
      <c r="E834" s="28"/>
      <c r="H834" s="28"/>
      <c r="K834" s="28"/>
      <c r="N834" s="28"/>
    </row>
    <row r="835" spans="1:14" ht="14.25" customHeight="1" x14ac:dyDescent="0.3">
      <c r="A835" s="5"/>
      <c r="E835" s="28"/>
      <c r="H835" s="28"/>
      <c r="K835" s="28"/>
      <c r="N835" s="28"/>
    </row>
    <row r="836" spans="1:14" ht="14.25" customHeight="1" x14ac:dyDescent="0.3">
      <c r="A836" s="5"/>
      <c r="E836" s="28"/>
      <c r="H836" s="28"/>
      <c r="K836" s="28"/>
      <c r="N836" s="28"/>
    </row>
    <row r="837" spans="1:14" ht="14.25" customHeight="1" x14ac:dyDescent="0.3">
      <c r="A837" s="5"/>
      <c r="E837" s="28"/>
      <c r="H837" s="28"/>
      <c r="K837" s="28"/>
      <c r="N837" s="28"/>
    </row>
    <row r="838" spans="1:14" ht="14.25" customHeight="1" x14ac:dyDescent="0.3">
      <c r="A838" s="5"/>
      <c r="E838" s="28"/>
      <c r="H838" s="28"/>
      <c r="K838" s="28"/>
      <c r="N838" s="28"/>
    </row>
    <row r="839" spans="1:14" ht="14.25" customHeight="1" x14ac:dyDescent="0.3">
      <c r="A839" s="5"/>
      <c r="E839" s="28"/>
      <c r="H839" s="28"/>
      <c r="K839" s="28"/>
      <c r="N839" s="28"/>
    </row>
    <row r="840" spans="1:14" ht="14.25" customHeight="1" x14ac:dyDescent="0.3">
      <c r="A840" s="5"/>
      <c r="E840" s="28"/>
      <c r="H840" s="28"/>
      <c r="K840" s="28"/>
      <c r="N840" s="28"/>
    </row>
    <row r="841" spans="1:14" ht="14.25" customHeight="1" x14ac:dyDescent="0.3">
      <c r="A841" s="5"/>
      <c r="E841" s="28"/>
      <c r="H841" s="28"/>
      <c r="K841" s="28"/>
      <c r="N841" s="28"/>
    </row>
    <row r="842" spans="1:14" ht="14.25" customHeight="1" x14ac:dyDescent="0.3">
      <c r="A842" s="5"/>
      <c r="E842" s="28"/>
      <c r="H842" s="28"/>
      <c r="K842" s="28"/>
      <c r="N842" s="28"/>
    </row>
    <row r="843" spans="1:14" ht="14.25" customHeight="1" x14ac:dyDescent="0.3">
      <c r="A843" s="5"/>
      <c r="E843" s="28"/>
      <c r="H843" s="28"/>
      <c r="K843" s="28"/>
      <c r="N843" s="28"/>
    </row>
    <row r="844" spans="1:14" ht="14.25" customHeight="1" x14ac:dyDescent="0.3">
      <c r="A844" s="5"/>
      <c r="E844" s="28"/>
      <c r="H844" s="28"/>
      <c r="K844" s="28"/>
      <c r="N844" s="28"/>
    </row>
    <row r="845" spans="1:14" ht="14.25" customHeight="1" x14ac:dyDescent="0.3">
      <c r="A845" s="5"/>
      <c r="E845" s="28"/>
      <c r="H845" s="28"/>
      <c r="K845" s="28"/>
      <c r="N845" s="28"/>
    </row>
    <row r="846" spans="1:14" ht="14.25" customHeight="1" x14ac:dyDescent="0.3">
      <c r="A846" s="5"/>
      <c r="E846" s="28"/>
      <c r="H846" s="28"/>
      <c r="K846" s="28"/>
      <c r="N846" s="28"/>
    </row>
    <row r="847" spans="1:14" ht="14.25" customHeight="1" x14ac:dyDescent="0.3">
      <c r="A847" s="5"/>
      <c r="E847" s="28"/>
      <c r="H847" s="28"/>
      <c r="K847" s="28"/>
      <c r="N847" s="28"/>
    </row>
    <row r="848" spans="1:14" ht="14.25" customHeight="1" x14ac:dyDescent="0.3">
      <c r="A848" s="5"/>
      <c r="E848" s="28"/>
      <c r="H848" s="28"/>
      <c r="K848" s="28"/>
      <c r="N848" s="28"/>
    </row>
    <row r="849" spans="1:14" ht="14.25" customHeight="1" x14ac:dyDescent="0.3">
      <c r="A849" s="5"/>
      <c r="E849" s="28"/>
      <c r="H849" s="28"/>
      <c r="K849" s="28"/>
      <c r="N849" s="28"/>
    </row>
    <row r="850" spans="1:14" ht="14.25" customHeight="1" x14ac:dyDescent="0.3">
      <c r="A850" s="5"/>
      <c r="E850" s="28"/>
      <c r="H850" s="28"/>
      <c r="K850" s="28"/>
      <c r="N850" s="28"/>
    </row>
    <row r="851" spans="1:14" ht="14.25" customHeight="1" x14ac:dyDescent="0.3">
      <c r="A851" s="5"/>
      <c r="E851" s="28"/>
      <c r="H851" s="28"/>
      <c r="K851" s="28"/>
      <c r="N851" s="28"/>
    </row>
    <row r="852" spans="1:14" ht="14.25" customHeight="1" x14ac:dyDescent="0.3">
      <c r="A852" s="5"/>
      <c r="E852" s="28"/>
      <c r="H852" s="28"/>
      <c r="K852" s="28"/>
      <c r="N852" s="28"/>
    </row>
    <row r="853" spans="1:14" ht="14.25" customHeight="1" x14ac:dyDescent="0.3">
      <c r="A853" s="5"/>
      <c r="E853" s="28"/>
      <c r="H853" s="28"/>
      <c r="K853" s="28"/>
      <c r="N853" s="28"/>
    </row>
    <row r="854" spans="1:14" ht="14.25" customHeight="1" x14ac:dyDescent="0.3">
      <c r="A854" s="5"/>
      <c r="E854" s="28"/>
      <c r="H854" s="28"/>
      <c r="K854" s="28"/>
      <c r="N854" s="28"/>
    </row>
    <row r="855" spans="1:14" ht="14.25" customHeight="1" x14ac:dyDescent="0.3">
      <c r="A855" s="5"/>
      <c r="E855" s="28"/>
      <c r="H855" s="28"/>
      <c r="K855" s="28"/>
      <c r="N855" s="28"/>
    </row>
    <row r="856" spans="1:14" ht="14.25" customHeight="1" x14ac:dyDescent="0.3">
      <c r="A856" s="5"/>
      <c r="E856" s="28"/>
      <c r="H856" s="28"/>
      <c r="K856" s="28"/>
      <c r="N856" s="28"/>
    </row>
    <row r="857" spans="1:14" ht="14.25" customHeight="1" x14ac:dyDescent="0.3">
      <c r="A857" s="5"/>
      <c r="E857" s="28"/>
      <c r="H857" s="28"/>
      <c r="K857" s="28"/>
      <c r="N857" s="28"/>
    </row>
    <row r="858" spans="1:14" ht="14.25" customHeight="1" x14ac:dyDescent="0.3">
      <c r="A858" s="5"/>
      <c r="E858" s="28"/>
      <c r="H858" s="28"/>
      <c r="K858" s="28"/>
      <c r="N858" s="28"/>
    </row>
    <row r="859" spans="1:14" ht="14.25" customHeight="1" x14ac:dyDescent="0.3">
      <c r="A859" s="5"/>
      <c r="E859" s="28"/>
      <c r="H859" s="28"/>
      <c r="K859" s="28"/>
      <c r="N859" s="28"/>
    </row>
    <row r="860" spans="1:14" ht="14.25" customHeight="1" x14ac:dyDescent="0.3">
      <c r="A860" s="5"/>
      <c r="E860" s="28"/>
      <c r="H860" s="28"/>
      <c r="K860" s="28"/>
      <c r="N860" s="28"/>
    </row>
    <row r="861" spans="1:14" ht="14.25" customHeight="1" x14ac:dyDescent="0.3">
      <c r="A861" s="5"/>
      <c r="E861" s="28"/>
      <c r="H861" s="28"/>
      <c r="K861" s="28"/>
      <c r="N861" s="28"/>
    </row>
    <row r="862" spans="1:14" ht="14.25" customHeight="1" x14ac:dyDescent="0.3">
      <c r="A862" s="5"/>
      <c r="E862" s="28"/>
      <c r="H862" s="28"/>
      <c r="K862" s="28"/>
      <c r="N862" s="28"/>
    </row>
    <row r="863" spans="1:14" ht="14.25" customHeight="1" x14ac:dyDescent="0.3">
      <c r="A863" s="5"/>
      <c r="E863" s="28"/>
      <c r="H863" s="28"/>
      <c r="K863" s="28"/>
      <c r="N863" s="28"/>
    </row>
    <row r="864" spans="1:14" ht="14.25" customHeight="1" x14ac:dyDescent="0.3">
      <c r="A864" s="5"/>
      <c r="E864" s="28"/>
      <c r="H864" s="28"/>
      <c r="K864" s="28"/>
      <c r="N864" s="28"/>
    </row>
    <row r="865" spans="1:14" ht="14.25" customHeight="1" x14ac:dyDescent="0.3">
      <c r="A865" s="5"/>
      <c r="E865" s="28"/>
      <c r="H865" s="28"/>
      <c r="K865" s="28"/>
      <c r="N865" s="28"/>
    </row>
    <row r="866" spans="1:14" ht="14.25" customHeight="1" x14ac:dyDescent="0.3">
      <c r="A866" s="5"/>
      <c r="E866" s="28"/>
      <c r="H866" s="28"/>
      <c r="K866" s="28"/>
      <c r="N866" s="28"/>
    </row>
    <row r="867" spans="1:14" ht="14.25" customHeight="1" x14ac:dyDescent="0.3">
      <c r="A867" s="5"/>
      <c r="E867" s="28"/>
      <c r="H867" s="28"/>
      <c r="K867" s="28"/>
      <c r="N867" s="28"/>
    </row>
    <row r="868" spans="1:14" ht="14.25" customHeight="1" x14ac:dyDescent="0.3">
      <c r="A868" s="5"/>
      <c r="E868" s="28"/>
      <c r="H868" s="28"/>
      <c r="K868" s="28"/>
      <c r="N868" s="28"/>
    </row>
    <row r="869" spans="1:14" ht="14.25" customHeight="1" x14ac:dyDescent="0.3">
      <c r="A869" s="5"/>
      <c r="E869" s="28"/>
      <c r="H869" s="28"/>
      <c r="K869" s="28"/>
      <c r="N869" s="28"/>
    </row>
    <row r="870" spans="1:14" ht="14.25" customHeight="1" x14ac:dyDescent="0.3">
      <c r="A870" s="5"/>
      <c r="E870" s="28"/>
      <c r="H870" s="28"/>
      <c r="K870" s="28"/>
      <c r="N870" s="28"/>
    </row>
    <row r="871" spans="1:14" ht="14.25" customHeight="1" x14ac:dyDescent="0.3">
      <c r="A871" s="5"/>
      <c r="E871" s="28"/>
      <c r="H871" s="28"/>
      <c r="K871" s="28"/>
      <c r="N871" s="28"/>
    </row>
    <row r="872" spans="1:14" ht="14.25" customHeight="1" x14ac:dyDescent="0.3">
      <c r="A872" s="5"/>
      <c r="E872" s="28"/>
      <c r="H872" s="28"/>
      <c r="K872" s="28"/>
      <c r="N872" s="28"/>
    </row>
    <row r="873" spans="1:14" ht="14.25" customHeight="1" x14ac:dyDescent="0.3">
      <c r="A873" s="5"/>
      <c r="E873" s="28"/>
      <c r="H873" s="28"/>
      <c r="K873" s="28"/>
      <c r="N873" s="28"/>
    </row>
    <row r="874" spans="1:14" ht="14.25" customHeight="1" x14ac:dyDescent="0.3">
      <c r="A874" s="5"/>
      <c r="E874" s="28"/>
      <c r="H874" s="28"/>
      <c r="K874" s="28"/>
      <c r="N874" s="28"/>
    </row>
    <row r="875" spans="1:14" ht="14.25" customHeight="1" x14ac:dyDescent="0.3">
      <c r="A875" s="5"/>
      <c r="E875" s="28"/>
      <c r="H875" s="28"/>
      <c r="K875" s="28"/>
      <c r="N875" s="28"/>
    </row>
    <row r="876" spans="1:14" ht="14.25" customHeight="1" x14ac:dyDescent="0.3">
      <c r="A876" s="5"/>
      <c r="E876" s="28"/>
      <c r="H876" s="28"/>
      <c r="K876" s="28"/>
      <c r="N876" s="28"/>
    </row>
    <row r="877" spans="1:14" ht="14.25" customHeight="1" x14ac:dyDescent="0.3">
      <c r="A877" s="5"/>
      <c r="E877" s="28"/>
      <c r="H877" s="28"/>
      <c r="K877" s="28"/>
      <c r="N877" s="28"/>
    </row>
    <row r="878" spans="1:14" ht="14.25" customHeight="1" x14ac:dyDescent="0.3">
      <c r="A878" s="5"/>
      <c r="E878" s="28"/>
      <c r="H878" s="28"/>
      <c r="K878" s="28"/>
      <c r="N878" s="28"/>
    </row>
    <row r="879" spans="1:14" ht="14.25" customHeight="1" x14ac:dyDescent="0.3">
      <c r="A879" s="5"/>
      <c r="E879" s="28"/>
      <c r="H879" s="28"/>
      <c r="K879" s="28"/>
      <c r="N879" s="28"/>
    </row>
    <row r="880" spans="1:14" ht="14.25" customHeight="1" x14ac:dyDescent="0.3">
      <c r="A880" s="5"/>
      <c r="E880" s="28"/>
      <c r="H880" s="28"/>
      <c r="K880" s="28"/>
      <c r="N880" s="28"/>
    </row>
    <row r="881" spans="1:14" ht="14.25" customHeight="1" x14ac:dyDescent="0.3">
      <c r="A881" s="5"/>
      <c r="E881" s="28"/>
      <c r="H881" s="28"/>
      <c r="K881" s="28"/>
      <c r="N881" s="28"/>
    </row>
    <row r="882" spans="1:14" ht="14.25" customHeight="1" x14ac:dyDescent="0.3">
      <c r="A882" s="5"/>
      <c r="E882" s="28"/>
      <c r="H882" s="28"/>
      <c r="K882" s="28"/>
      <c r="N882" s="28"/>
    </row>
    <row r="883" spans="1:14" ht="14.25" customHeight="1" x14ac:dyDescent="0.3">
      <c r="A883" s="5"/>
      <c r="E883" s="28"/>
      <c r="H883" s="28"/>
      <c r="K883" s="28"/>
      <c r="N883" s="28"/>
    </row>
    <row r="884" spans="1:14" ht="14.25" customHeight="1" x14ac:dyDescent="0.3">
      <c r="A884" s="5"/>
      <c r="E884" s="28"/>
      <c r="H884" s="28"/>
      <c r="K884" s="28"/>
      <c r="N884" s="28"/>
    </row>
    <row r="885" spans="1:14" ht="14.25" customHeight="1" x14ac:dyDescent="0.3">
      <c r="A885" s="5"/>
      <c r="E885" s="28"/>
      <c r="H885" s="28"/>
      <c r="K885" s="28"/>
      <c r="N885" s="28"/>
    </row>
    <row r="886" spans="1:14" ht="14.25" customHeight="1" x14ac:dyDescent="0.3">
      <c r="A886" s="5"/>
      <c r="E886" s="28"/>
      <c r="H886" s="28"/>
      <c r="K886" s="28"/>
      <c r="N886" s="28"/>
    </row>
    <row r="887" spans="1:14" ht="14.25" customHeight="1" x14ac:dyDescent="0.3">
      <c r="A887" s="5"/>
      <c r="E887" s="28"/>
      <c r="H887" s="28"/>
      <c r="K887" s="28"/>
      <c r="N887" s="28"/>
    </row>
    <row r="888" spans="1:14" ht="14.25" customHeight="1" x14ac:dyDescent="0.3">
      <c r="A888" s="5"/>
      <c r="E888" s="28"/>
      <c r="H888" s="28"/>
      <c r="K888" s="28"/>
      <c r="N888" s="28"/>
    </row>
    <row r="889" spans="1:14" ht="14.25" customHeight="1" x14ac:dyDescent="0.3">
      <c r="A889" s="5"/>
      <c r="E889" s="28"/>
      <c r="H889" s="28"/>
      <c r="K889" s="28"/>
      <c r="N889" s="28"/>
    </row>
    <row r="890" spans="1:14" ht="14.25" customHeight="1" x14ac:dyDescent="0.3">
      <c r="A890" s="5"/>
      <c r="E890" s="28"/>
      <c r="H890" s="28"/>
      <c r="K890" s="28"/>
      <c r="N890" s="28"/>
    </row>
    <row r="891" spans="1:14" ht="14.25" customHeight="1" x14ac:dyDescent="0.3">
      <c r="A891" s="5"/>
      <c r="E891" s="28"/>
      <c r="H891" s="28"/>
      <c r="K891" s="28"/>
      <c r="N891" s="28"/>
    </row>
    <row r="892" spans="1:14" ht="14.25" customHeight="1" x14ac:dyDescent="0.3">
      <c r="A892" s="5"/>
      <c r="E892" s="28"/>
      <c r="H892" s="28"/>
      <c r="K892" s="28"/>
      <c r="N892" s="28"/>
    </row>
    <row r="893" spans="1:14" ht="14.25" customHeight="1" x14ac:dyDescent="0.3">
      <c r="A893" s="5"/>
      <c r="E893" s="28"/>
      <c r="H893" s="28"/>
      <c r="K893" s="28"/>
      <c r="N893" s="28"/>
    </row>
    <row r="894" spans="1:14" ht="14.25" customHeight="1" x14ac:dyDescent="0.3">
      <c r="A894" s="5"/>
      <c r="E894" s="28"/>
      <c r="H894" s="28"/>
      <c r="K894" s="28"/>
      <c r="N894" s="28"/>
    </row>
    <row r="895" spans="1:14" ht="14.25" customHeight="1" x14ac:dyDescent="0.3">
      <c r="A895" s="5"/>
      <c r="E895" s="28"/>
      <c r="H895" s="28"/>
      <c r="K895" s="28"/>
      <c r="N895" s="28"/>
    </row>
    <row r="896" spans="1:14" ht="14.25" customHeight="1" x14ac:dyDescent="0.3">
      <c r="A896" s="5"/>
      <c r="E896" s="28"/>
      <c r="H896" s="28"/>
      <c r="K896" s="28"/>
      <c r="N896" s="28"/>
    </row>
    <row r="897" spans="1:14" ht="14.25" customHeight="1" x14ac:dyDescent="0.3">
      <c r="A897" s="5"/>
      <c r="E897" s="28"/>
      <c r="H897" s="28"/>
      <c r="K897" s="28"/>
      <c r="N897" s="28"/>
    </row>
    <row r="898" spans="1:14" ht="14.25" customHeight="1" x14ac:dyDescent="0.3">
      <c r="A898" s="5"/>
      <c r="E898" s="28"/>
      <c r="H898" s="28"/>
      <c r="K898" s="28"/>
      <c r="N898" s="28"/>
    </row>
    <row r="899" spans="1:14" ht="14.25" customHeight="1" x14ac:dyDescent="0.3">
      <c r="A899" s="5"/>
      <c r="E899" s="28"/>
      <c r="H899" s="28"/>
      <c r="K899" s="28"/>
      <c r="N899" s="28"/>
    </row>
    <row r="900" spans="1:14" ht="14.25" customHeight="1" x14ac:dyDescent="0.3">
      <c r="A900" s="5"/>
      <c r="E900" s="28"/>
      <c r="H900" s="28"/>
      <c r="K900" s="28"/>
      <c r="N900" s="28"/>
    </row>
    <row r="901" spans="1:14" ht="14.25" customHeight="1" x14ac:dyDescent="0.3">
      <c r="A901" s="5"/>
      <c r="E901" s="28"/>
      <c r="H901" s="28"/>
      <c r="K901" s="28"/>
      <c r="N901" s="28"/>
    </row>
    <row r="902" spans="1:14" ht="14.25" customHeight="1" x14ac:dyDescent="0.3">
      <c r="A902" s="5"/>
      <c r="E902" s="28"/>
      <c r="H902" s="28"/>
      <c r="K902" s="28"/>
      <c r="N902" s="28"/>
    </row>
    <row r="903" spans="1:14" ht="14.25" customHeight="1" x14ac:dyDescent="0.3">
      <c r="A903" s="5"/>
      <c r="E903" s="28"/>
      <c r="H903" s="28"/>
      <c r="K903" s="28"/>
      <c r="N903" s="28"/>
    </row>
    <row r="904" spans="1:14" ht="14.25" customHeight="1" x14ac:dyDescent="0.3">
      <c r="A904" s="5"/>
      <c r="E904" s="28"/>
      <c r="H904" s="28"/>
      <c r="K904" s="28"/>
      <c r="N904" s="28"/>
    </row>
    <row r="905" spans="1:14" ht="14.25" customHeight="1" x14ac:dyDescent="0.3">
      <c r="A905" s="5"/>
      <c r="E905" s="28"/>
      <c r="H905" s="28"/>
      <c r="K905" s="28"/>
      <c r="N905" s="28"/>
    </row>
    <row r="906" spans="1:14" ht="14.25" customHeight="1" x14ac:dyDescent="0.3">
      <c r="A906" s="5"/>
      <c r="E906" s="28"/>
      <c r="H906" s="28"/>
      <c r="K906" s="28"/>
      <c r="N906" s="28"/>
    </row>
    <row r="907" spans="1:14" ht="14.25" customHeight="1" x14ac:dyDescent="0.3">
      <c r="A907" s="5"/>
      <c r="E907" s="28"/>
      <c r="H907" s="28"/>
      <c r="K907" s="28"/>
      <c r="N907" s="28"/>
    </row>
    <row r="908" spans="1:14" ht="14.25" customHeight="1" x14ac:dyDescent="0.3">
      <c r="A908" s="5"/>
      <c r="E908" s="28"/>
      <c r="H908" s="28"/>
      <c r="K908" s="28"/>
      <c r="N908" s="28"/>
    </row>
    <row r="909" spans="1:14" ht="14.25" customHeight="1" x14ac:dyDescent="0.3">
      <c r="A909" s="5"/>
      <c r="E909" s="28"/>
      <c r="H909" s="28"/>
      <c r="K909" s="28"/>
      <c r="N909" s="28"/>
    </row>
    <row r="910" spans="1:14" ht="14.25" customHeight="1" x14ac:dyDescent="0.3">
      <c r="A910" s="5"/>
      <c r="E910" s="28"/>
      <c r="H910" s="28"/>
      <c r="K910" s="28"/>
      <c r="N910" s="28"/>
    </row>
    <row r="911" spans="1:14" ht="14.25" customHeight="1" x14ac:dyDescent="0.3">
      <c r="A911" s="5"/>
      <c r="E911" s="28"/>
      <c r="H911" s="28"/>
      <c r="K911" s="28"/>
      <c r="N911" s="28"/>
    </row>
    <row r="912" spans="1:14" ht="14.25" customHeight="1" x14ac:dyDescent="0.3">
      <c r="A912" s="5"/>
      <c r="E912" s="28"/>
      <c r="H912" s="28"/>
      <c r="K912" s="28"/>
      <c r="N912" s="28"/>
    </row>
    <row r="913" spans="1:14" ht="14.25" customHeight="1" x14ac:dyDescent="0.3">
      <c r="A913" s="5"/>
      <c r="E913" s="28"/>
      <c r="H913" s="28"/>
      <c r="K913" s="28"/>
      <c r="N913" s="28"/>
    </row>
    <row r="914" spans="1:14" ht="14.25" customHeight="1" x14ac:dyDescent="0.3">
      <c r="A914" s="5"/>
      <c r="E914" s="28"/>
      <c r="H914" s="28"/>
      <c r="K914" s="28"/>
      <c r="N914" s="28"/>
    </row>
    <row r="915" spans="1:14" ht="14.25" customHeight="1" x14ac:dyDescent="0.3">
      <c r="A915" s="5"/>
      <c r="E915" s="28"/>
      <c r="H915" s="28"/>
      <c r="K915" s="28"/>
      <c r="N915" s="28"/>
    </row>
    <row r="916" spans="1:14" ht="14.25" customHeight="1" x14ac:dyDescent="0.3">
      <c r="A916" s="5"/>
      <c r="E916" s="28"/>
      <c r="H916" s="28"/>
      <c r="K916" s="28"/>
      <c r="N916" s="28"/>
    </row>
    <row r="917" spans="1:14" ht="14.25" customHeight="1" x14ac:dyDescent="0.3">
      <c r="A917" s="5"/>
      <c r="E917" s="28"/>
      <c r="H917" s="28"/>
      <c r="K917" s="28"/>
      <c r="N917" s="28"/>
    </row>
    <row r="918" spans="1:14" ht="14.25" customHeight="1" x14ac:dyDescent="0.3">
      <c r="A918" s="5"/>
      <c r="E918" s="28"/>
      <c r="H918" s="28"/>
      <c r="K918" s="28"/>
      <c r="N918" s="28"/>
    </row>
    <row r="919" spans="1:14" ht="14.25" customHeight="1" x14ac:dyDescent="0.3">
      <c r="A919" s="5"/>
      <c r="E919" s="28"/>
      <c r="H919" s="28"/>
      <c r="K919" s="28"/>
      <c r="N919" s="28"/>
    </row>
    <row r="920" spans="1:14" ht="14.25" customHeight="1" x14ac:dyDescent="0.3">
      <c r="A920" s="5"/>
      <c r="E920" s="28"/>
      <c r="H920" s="28"/>
      <c r="K920" s="28"/>
      <c r="N920" s="28"/>
    </row>
    <row r="921" spans="1:14" ht="14.25" customHeight="1" x14ac:dyDescent="0.3">
      <c r="A921" s="5"/>
      <c r="E921" s="28"/>
      <c r="H921" s="28"/>
      <c r="K921" s="28"/>
      <c r="N921" s="28"/>
    </row>
    <row r="922" spans="1:14" ht="14.25" customHeight="1" x14ac:dyDescent="0.3">
      <c r="A922" s="5"/>
      <c r="E922" s="28"/>
      <c r="H922" s="28"/>
      <c r="K922" s="28"/>
      <c r="N922" s="28"/>
    </row>
    <row r="923" spans="1:14" ht="14.25" customHeight="1" x14ac:dyDescent="0.3">
      <c r="A923" s="5"/>
      <c r="E923" s="28"/>
      <c r="H923" s="28"/>
      <c r="K923" s="28"/>
      <c r="N923" s="28"/>
    </row>
    <row r="924" spans="1:14" ht="14.25" customHeight="1" x14ac:dyDescent="0.3">
      <c r="A924" s="5"/>
      <c r="E924" s="28"/>
      <c r="H924" s="28"/>
      <c r="K924" s="28"/>
      <c r="N924" s="28"/>
    </row>
    <row r="925" spans="1:14" ht="14.25" customHeight="1" x14ac:dyDescent="0.3">
      <c r="A925" s="5"/>
      <c r="E925" s="28"/>
      <c r="H925" s="28"/>
      <c r="K925" s="28"/>
      <c r="N925" s="28"/>
    </row>
    <row r="926" spans="1:14" ht="14.25" customHeight="1" x14ac:dyDescent="0.3">
      <c r="A926" s="5"/>
      <c r="E926" s="28"/>
      <c r="H926" s="28"/>
      <c r="K926" s="28"/>
      <c r="N926" s="28"/>
    </row>
    <row r="927" spans="1:14" ht="14.25" customHeight="1" x14ac:dyDescent="0.3">
      <c r="A927" s="5"/>
      <c r="E927" s="28"/>
      <c r="H927" s="28"/>
      <c r="K927" s="28"/>
      <c r="N927" s="28"/>
    </row>
    <row r="928" spans="1:14" ht="14.25" customHeight="1" x14ac:dyDescent="0.3">
      <c r="A928" s="5"/>
      <c r="E928" s="28"/>
      <c r="H928" s="28"/>
      <c r="K928" s="28"/>
      <c r="N928" s="28"/>
    </row>
    <row r="929" spans="1:14" ht="14.25" customHeight="1" x14ac:dyDescent="0.3">
      <c r="A929" s="5"/>
      <c r="E929" s="28"/>
      <c r="H929" s="28"/>
      <c r="K929" s="28"/>
      <c r="N929" s="28"/>
    </row>
    <row r="930" spans="1:14" ht="14.25" customHeight="1" x14ac:dyDescent="0.3">
      <c r="A930" s="5"/>
      <c r="E930" s="28"/>
      <c r="H930" s="28"/>
      <c r="K930" s="28"/>
      <c r="N930" s="28"/>
    </row>
    <row r="931" spans="1:14" ht="14.25" customHeight="1" x14ac:dyDescent="0.3">
      <c r="A931" s="5"/>
      <c r="E931" s="28"/>
      <c r="H931" s="28"/>
      <c r="K931" s="28"/>
      <c r="N931" s="28"/>
    </row>
    <row r="932" spans="1:14" ht="14.25" customHeight="1" x14ac:dyDescent="0.3">
      <c r="A932" s="5"/>
      <c r="E932" s="28"/>
      <c r="H932" s="28"/>
      <c r="K932" s="28"/>
      <c r="N932" s="28"/>
    </row>
    <row r="933" spans="1:14" ht="14.25" customHeight="1" x14ac:dyDescent="0.3">
      <c r="A933" s="5"/>
      <c r="E933" s="28"/>
      <c r="H933" s="28"/>
      <c r="K933" s="28"/>
      <c r="N933" s="28"/>
    </row>
    <row r="934" spans="1:14" ht="14.25" customHeight="1" x14ac:dyDescent="0.3">
      <c r="A934" s="5"/>
      <c r="E934" s="28"/>
      <c r="H934" s="28"/>
      <c r="K934" s="28"/>
      <c r="N934" s="28"/>
    </row>
    <row r="935" spans="1:14" ht="14.25" customHeight="1" x14ac:dyDescent="0.3">
      <c r="A935" s="5"/>
      <c r="E935" s="28"/>
      <c r="H935" s="28"/>
      <c r="K935" s="28"/>
      <c r="N935" s="28"/>
    </row>
    <row r="936" spans="1:14" ht="14.25" customHeight="1" x14ac:dyDescent="0.3">
      <c r="A936" s="5"/>
      <c r="E936" s="28"/>
      <c r="H936" s="28"/>
      <c r="K936" s="28"/>
      <c r="N936" s="28"/>
    </row>
    <row r="937" spans="1:14" ht="14.25" customHeight="1" x14ac:dyDescent="0.3">
      <c r="A937" s="5"/>
      <c r="E937" s="28"/>
      <c r="H937" s="28"/>
      <c r="K937" s="28"/>
      <c r="N937" s="28"/>
    </row>
    <row r="938" spans="1:14" ht="14.25" customHeight="1" x14ac:dyDescent="0.3">
      <c r="A938" s="5"/>
      <c r="E938" s="28"/>
      <c r="H938" s="28"/>
      <c r="K938" s="28"/>
      <c r="N938" s="28"/>
    </row>
    <row r="939" spans="1:14" ht="14.25" customHeight="1" x14ac:dyDescent="0.3">
      <c r="A939" s="5"/>
      <c r="E939" s="28"/>
      <c r="H939" s="28"/>
      <c r="K939" s="28"/>
      <c r="N939" s="28"/>
    </row>
    <row r="940" spans="1:14" ht="14.25" customHeight="1" x14ac:dyDescent="0.3">
      <c r="A940" s="5"/>
      <c r="E940" s="28"/>
      <c r="H940" s="28"/>
      <c r="K940" s="28"/>
      <c r="N940" s="28"/>
    </row>
    <row r="941" spans="1:14" ht="14.25" customHeight="1" x14ac:dyDescent="0.3">
      <c r="A941" s="5"/>
      <c r="E941" s="28"/>
      <c r="H941" s="28"/>
      <c r="K941" s="28"/>
      <c r="N941" s="28"/>
    </row>
    <row r="942" spans="1:14" ht="14.25" customHeight="1" x14ac:dyDescent="0.3">
      <c r="A942" s="5"/>
      <c r="E942" s="28"/>
      <c r="H942" s="28"/>
      <c r="K942" s="28"/>
      <c r="N942" s="28"/>
    </row>
    <row r="943" spans="1:14" ht="14.25" customHeight="1" x14ac:dyDescent="0.3">
      <c r="A943" s="5"/>
      <c r="E943" s="28"/>
      <c r="H943" s="28"/>
      <c r="K943" s="28"/>
      <c r="N943" s="28"/>
    </row>
    <row r="944" spans="1:14" ht="14.25" customHeight="1" x14ac:dyDescent="0.3">
      <c r="A944" s="5"/>
      <c r="E944" s="28"/>
      <c r="H944" s="28"/>
      <c r="K944" s="28"/>
      <c r="N944" s="28"/>
    </row>
    <row r="945" spans="1:14" ht="14.25" customHeight="1" x14ac:dyDescent="0.3">
      <c r="A945" s="5"/>
      <c r="E945" s="28"/>
      <c r="H945" s="28"/>
      <c r="K945" s="28"/>
      <c r="N945" s="28"/>
    </row>
    <row r="946" spans="1:14" ht="14.25" customHeight="1" x14ac:dyDescent="0.3">
      <c r="A946" s="5"/>
      <c r="E946" s="28"/>
      <c r="H946" s="28"/>
      <c r="K946" s="28"/>
      <c r="N946" s="28"/>
    </row>
    <row r="947" spans="1:14" ht="14.25" customHeight="1" x14ac:dyDescent="0.3">
      <c r="A947" s="5"/>
      <c r="E947" s="28"/>
      <c r="H947" s="28"/>
      <c r="K947" s="28"/>
      <c r="N947" s="28"/>
    </row>
    <row r="948" spans="1:14" ht="14.25" customHeight="1" x14ac:dyDescent="0.3">
      <c r="A948" s="5"/>
      <c r="E948" s="28"/>
      <c r="H948" s="28"/>
      <c r="K948" s="28"/>
      <c r="N948" s="28"/>
    </row>
    <row r="949" spans="1:14" ht="14.25" customHeight="1" x14ac:dyDescent="0.3">
      <c r="A949" s="5"/>
      <c r="E949" s="28"/>
      <c r="H949" s="28"/>
      <c r="K949" s="28"/>
      <c r="N949" s="28"/>
    </row>
    <row r="950" spans="1:14" ht="14.25" customHeight="1" x14ac:dyDescent="0.3">
      <c r="A950" s="5"/>
      <c r="E950" s="28"/>
      <c r="H950" s="28"/>
      <c r="K950" s="28"/>
      <c r="N950" s="28"/>
    </row>
    <row r="951" spans="1:14" ht="14.25" customHeight="1" x14ac:dyDescent="0.3">
      <c r="A951" s="5"/>
      <c r="E951" s="28"/>
      <c r="H951" s="28"/>
      <c r="K951" s="28"/>
      <c r="N951" s="28"/>
    </row>
    <row r="952" spans="1:14" ht="14.25" customHeight="1" x14ac:dyDescent="0.3">
      <c r="A952" s="5"/>
      <c r="E952" s="28"/>
      <c r="H952" s="28"/>
      <c r="K952" s="28"/>
      <c r="N952" s="28"/>
    </row>
    <row r="953" spans="1:14" ht="14.25" customHeight="1" x14ac:dyDescent="0.3">
      <c r="A953" s="5"/>
      <c r="E953" s="28"/>
      <c r="H953" s="28"/>
      <c r="K953" s="28"/>
      <c r="N953" s="28"/>
    </row>
    <row r="954" spans="1:14" ht="14.25" customHeight="1" x14ac:dyDescent="0.3">
      <c r="A954" s="5"/>
      <c r="E954" s="28"/>
      <c r="H954" s="28"/>
      <c r="K954" s="28"/>
      <c r="N954" s="28"/>
    </row>
    <row r="955" spans="1:14" ht="14.25" customHeight="1" x14ac:dyDescent="0.3">
      <c r="A955" s="5"/>
      <c r="E955" s="28"/>
      <c r="H955" s="28"/>
      <c r="K955" s="28"/>
      <c r="N955" s="28"/>
    </row>
    <row r="956" spans="1:14" ht="14.25" customHeight="1" x14ac:dyDescent="0.3">
      <c r="A956" s="5"/>
      <c r="E956" s="28"/>
      <c r="H956" s="28"/>
      <c r="K956" s="28"/>
      <c r="N956" s="28"/>
    </row>
    <row r="957" spans="1:14" ht="14.25" customHeight="1" x14ac:dyDescent="0.3">
      <c r="A957" s="5"/>
      <c r="E957" s="28"/>
      <c r="H957" s="28"/>
      <c r="K957" s="28"/>
      <c r="N957" s="28"/>
    </row>
    <row r="958" spans="1:14" ht="14.25" customHeight="1" x14ac:dyDescent="0.3">
      <c r="A958" s="5"/>
      <c r="E958" s="28"/>
      <c r="H958" s="28"/>
      <c r="K958" s="28"/>
      <c r="N958" s="28"/>
    </row>
    <row r="959" spans="1:14" ht="14.25" customHeight="1" x14ac:dyDescent="0.3">
      <c r="A959" s="5"/>
      <c r="E959" s="28"/>
      <c r="H959" s="28"/>
      <c r="K959" s="28"/>
      <c r="N959" s="28"/>
    </row>
    <row r="960" spans="1:14" ht="14.25" customHeight="1" x14ac:dyDescent="0.3">
      <c r="A960" s="5"/>
      <c r="E960" s="28"/>
      <c r="H960" s="28"/>
      <c r="K960" s="28"/>
      <c r="N960" s="28"/>
    </row>
    <row r="961" spans="1:14" ht="14.25" customHeight="1" x14ac:dyDescent="0.3">
      <c r="A961" s="5"/>
      <c r="E961" s="28"/>
      <c r="H961" s="28"/>
      <c r="K961" s="28"/>
      <c r="N961" s="28"/>
    </row>
    <row r="962" spans="1:14" ht="14.25" customHeight="1" x14ac:dyDescent="0.3">
      <c r="A962" s="5"/>
      <c r="E962" s="28"/>
      <c r="H962" s="28"/>
      <c r="K962" s="28"/>
      <c r="N962" s="28"/>
    </row>
    <row r="963" spans="1:14" ht="14.25" customHeight="1" x14ac:dyDescent="0.3">
      <c r="A963" s="5"/>
      <c r="E963" s="28"/>
      <c r="H963" s="28"/>
      <c r="K963" s="28"/>
      <c r="N963" s="28"/>
    </row>
    <row r="964" spans="1:14" ht="14.25" customHeight="1" x14ac:dyDescent="0.3">
      <c r="A964" s="5"/>
      <c r="E964" s="28"/>
      <c r="H964" s="28"/>
      <c r="K964" s="28"/>
      <c r="N964" s="28"/>
    </row>
    <row r="965" spans="1:14" ht="14.25" customHeight="1" x14ac:dyDescent="0.3">
      <c r="A965" s="5"/>
      <c r="E965" s="28"/>
      <c r="H965" s="28"/>
      <c r="K965" s="28"/>
      <c r="N965" s="28"/>
    </row>
    <row r="966" spans="1:14" ht="14.25" customHeight="1" x14ac:dyDescent="0.3">
      <c r="A966" s="5"/>
      <c r="E966" s="28"/>
      <c r="H966" s="28"/>
      <c r="K966" s="28"/>
      <c r="N966" s="28"/>
    </row>
    <row r="967" spans="1:14" ht="14.25" customHeight="1" x14ac:dyDescent="0.3">
      <c r="A967" s="5"/>
      <c r="E967" s="28"/>
      <c r="H967" s="28"/>
      <c r="K967" s="28"/>
      <c r="N967" s="28"/>
    </row>
    <row r="968" spans="1:14" ht="14.25" customHeight="1" x14ac:dyDescent="0.3">
      <c r="A968" s="5"/>
      <c r="E968" s="28"/>
      <c r="H968" s="28"/>
      <c r="K968" s="28"/>
      <c r="N968" s="28"/>
    </row>
    <row r="969" spans="1:14" ht="14.25" customHeight="1" x14ac:dyDescent="0.3">
      <c r="A969" s="5"/>
      <c r="E969" s="28"/>
      <c r="H969" s="28"/>
      <c r="K969" s="28"/>
      <c r="N969" s="28"/>
    </row>
    <row r="970" spans="1:14" ht="14.25" customHeight="1" x14ac:dyDescent="0.3">
      <c r="A970" s="5"/>
      <c r="E970" s="28"/>
      <c r="H970" s="28"/>
      <c r="K970" s="28"/>
      <c r="N970" s="28"/>
    </row>
    <row r="971" spans="1:14" ht="14.25" customHeight="1" x14ac:dyDescent="0.3">
      <c r="A971" s="5"/>
      <c r="E971" s="28"/>
      <c r="H971" s="28"/>
      <c r="K971" s="28"/>
      <c r="N971" s="28"/>
    </row>
    <row r="972" spans="1:14" ht="14.25" customHeight="1" x14ac:dyDescent="0.3">
      <c r="A972" s="5"/>
      <c r="E972" s="28"/>
      <c r="H972" s="28"/>
      <c r="K972" s="28"/>
      <c r="N972" s="28"/>
    </row>
    <row r="973" spans="1:14" ht="14.25" customHeight="1" x14ac:dyDescent="0.3">
      <c r="A973" s="5"/>
      <c r="E973" s="28"/>
      <c r="H973" s="28"/>
      <c r="K973" s="28"/>
      <c r="N973" s="28"/>
    </row>
    <row r="974" spans="1:14" ht="14.25" customHeight="1" x14ac:dyDescent="0.3">
      <c r="A974" s="5"/>
      <c r="E974" s="28"/>
      <c r="H974" s="28"/>
      <c r="K974" s="28"/>
      <c r="N974" s="28"/>
    </row>
    <row r="975" spans="1:14" ht="14.25" customHeight="1" x14ac:dyDescent="0.3">
      <c r="A975" s="5"/>
      <c r="E975" s="28"/>
      <c r="H975" s="28"/>
      <c r="K975" s="28"/>
      <c r="N975" s="28"/>
    </row>
    <row r="976" spans="1:14" ht="14.25" customHeight="1" x14ac:dyDescent="0.3">
      <c r="A976" s="5"/>
      <c r="E976" s="28"/>
      <c r="H976" s="28"/>
      <c r="K976" s="28"/>
      <c r="N976" s="28"/>
    </row>
    <row r="977" spans="1:14" ht="14.25" customHeight="1" x14ac:dyDescent="0.3">
      <c r="A977" s="5"/>
      <c r="E977" s="28"/>
      <c r="H977" s="28"/>
      <c r="K977" s="28"/>
      <c r="N977" s="28"/>
    </row>
    <row r="978" spans="1:14" ht="14.25" customHeight="1" x14ac:dyDescent="0.3">
      <c r="A978" s="5"/>
      <c r="E978" s="28"/>
      <c r="H978" s="28"/>
      <c r="K978" s="28"/>
      <c r="N978" s="28"/>
    </row>
    <row r="979" spans="1:14" ht="14.25" customHeight="1" x14ac:dyDescent="0.3">
      <c r="A979" s="5"/>
      <c r="E979" s="28"/>
      <c r="H979" s="28"/>
      <c r="K979" s="28"/>
      <c r="N979" s="28"/>
    </row>
    <row r="980" spans="1:14" ht="14.25" customHeight="1" x14ac:dyDescent="0.3">
      <c r="A980" s="5"/>
      <c r="E980" s="28"/>
      <c r="H980" s="28"/>
      <c r="K980" s="28"/>
      <c r="N980" s="28"/>
    </row>
    <row r="981" spans="1:14" ht="14.25" customHeight="1" x14ac:dyDescent="0.3">
      <c r="A981" s="5"/>
      <c r="E981" s="28"/>
      <c r="H981" s="28"/>
      <c r="K981" s="28"/>
      <c r="N981" s="28"/>
    </row>
    <row r="982" spans="1:14" ht="14.25" customHeight="1" x14ac:dyDescent="0.3">
      <c r="A982" s="5"/>
      <c r="E982" s="28"/>
      <c r="H982" s="28"/>
      <c r="K982" s="28"/>
      <c r="N982" s="28"/>
    </row>
    <row r="983" spans="1:14" ht="14.25" customHeight="1" x14ac:dyDescent="0.3">
      <c r="A983" s="5"/>
      <c r="E983" s="28"/>
      <c r="H983" s="28"/>
      <c r="K983" s="28"/>
      <c r="N983" s="28"/>
    </row>
    <row r="984" spans="1:14" ht="14.25" customHeight="1" x14ac:dyDescent="0.3">
      <c r="A984" s="5"/>
      <c r="E984" s="28"/>
      <c r="H984" s="28"/>
      <c r="K984" s="28"/>
      <c r="N984" s="28"/>
    </row>
    <row r="985" spans="1:14" ht="14.25" customHeight="1" x14ac:dyDescent="0.3">
      <c r="A985" s="5"/>
      <c r="E985" s="28"/>
      <c r="H985" s="28"/>
      <c r="K985" s="28"/>
      <c r="N985" s="28"/>
    </row>
    <row r="986" spans="1:14" ht="14.25" customHeight="1" x14ac:dyDescent="0.3">
      <c r="A986" s="5"/>
      <c r="E986" s="28"/>
      <c r="H986" s="28"/>
      <c r="K986" s="28"/>
      <c r="N986" s="28"/>
    </row>
    <row r="987" spans="1:14" ht="14.25" customHeight="1" x14ac:dyDescent="0.3">
      <c r="A987" s="5"/>
      <c r="E987" s="28"/>
      <c r="H987" s="28"/>
      <c r="K987" s="28"/>
      <c r="N987" s="28"/>
    </row>
    <row r="988" spans="1:14" ht="14.25" customHeight="1" x14ac:dyDescent="0.3">
      <c r="A988" s="5"/>
      <c r="E988" s="28"/>
      <c r="H988" s="28"/>
      <c r="K988" s="28"/>
      <c r="N988" s="28"/>
    </row>
    <row r="989" spans="1:14" ht="14.25" customHeight="1" x14ac:dyDescent="0.3">
      <c r="A989" s="5"/>
      <c r="E989" s="28"/>
      <c r="H989" s="28"/>
      <c r="K989" s="28"/>
      <c r="N989" s="28"/>
    </row>
    <row r="990" spans="1:14" ht="14.25" customHeight="1" x14ac:dyDescent="0.3">
      <c r="A990" s="5"/>
      <c r="E990" s="28"/>
      <c r="H990" s="28"/>
      <c r="K990" s="28"/>
      <c r="N990" s="28"/>
    </row>
    <row r="991" spans="1:14" ht="14.25" customHeight="1" x14ac:dyDescent="0.3">
      <c r="A991" s="5"/>
      <c r="E991" s="28"/>
      <c r="H991" s="28"/>
      <c r="K991" s="28"/>
      <c r="N991" s="28"/>
    </row>
    <row r="992" spans="1:14" ht="14.25" customHeight="1" x14ac:dyDescent="0.3">
      <c r="A992" s="5"/>
      <c r="E992" s="28"/>
      <c r="H992" s="28"/>
      <c r="K992" s="28"/>
      <c r="N992" s="28"/>
    </row>
    <row r="993" spans="1:14" ht="14.25" customHeight="1" x14ac:dyDescent="0.3">
      <c r="A993" s="5"/>
      <c r="E993" s="28"/>
      <c r="H993" s="28"/>
      <c r="K993" s="28"/>
      <c r="N993" s="28"/>
    </row>
    <row r="994" spans="1:14" ht="14.25" customHeight="1" x14ac:dyDescent="0.3">
      <c r="A994" s="5"/>
      <c r="E994" s="28"/>
      <c r="H994" s="28"/>
      <c r="K994" s="28"/>
      <c r="N994" s="28"/>
    </row>
    <row r="995" spans="1:14" ht="14.25" customHeight="1" x14ac:dyDescent="0.3">
      <c r="A995" s="5"/>
      <c r="E995" s="28"/>
      <c r="H995" s="28"/>
      <c r="K995" s="28"/>
      <c r="N995" s="28"/>
    </row>
    <row r="996" spans="1:14" ht="14.25" customHeight="1" x14ac:dyDescent="0.3">
      <c r="A996" s="5"/>
      <c r="E996" s="28"/>
      <c r="H996" s="28"/>
      <c r="K996" s="28"/>
      <c r="N996" s="28"/>
    </row>
    <row r="997" spans="1:14" ht="14.25" customHeight="1" x14ac:dyDescent="0.3">
      <c r="A997" s="5"/>
      <c r="E997" s="28"/>
      <c r="H997" s="28"/>
      <c r="K997" s="28"/>
      <c r="N997" s="28"/>
    </row>
    <row r="998" spans="1:14" ht="14.25" customHeight="1" x14ac:dyDescent="0.3">
      <c r="A998" s="5"/>
      <c r="E998" s="28"/>
      <c r="H998" s="28"/>
      <c r="K998" s="28"/>
      <c r="N998" s="28"/>
    </row>
    <row r="999" spans="1:14" ht="14.25" customHeight="1" x14ac:dyDescent="0.3">
      <c r="A999" s="5"/>
      <c r="E999" s="28"/>
      <c r="H999" s="28"/>
      <c r="K999" s="28"/>
      <c r="N999" s="28"/>
    </row>
    <row r="1000" spans="1:14" ht="14.25" customHeight="1" x14ac:dyDescent="0.3">
      <c r="A1000" s="5"/>
      <c r="E1000" s="28"/>
      <c r="H1000" s="28"/>
      <c r="K1000" s="28"/>
      <c r="N1000" s="28"/>
    </row>
  </sheetData>
  <mergeCells count="10">
    <mergeCell ref="E23:H23"/>
    <mergeCell ref="E24:H24"/>
    <mergeCell ref="E25:H25"/>
    <mergeCell ref="A2:H2"/>
    <mergeCell ref="A3:H3"/>
    <mergeCell ref="A4:H4"/>
    <mergeCell ref="G6:G8"/>
    <mergeCell ref="H7:H8"/>
    <mergeCell ref="E16:H16"/>
    <mergeCell ref="E18:H18"/>
  </mergeCells>
  <pageMargins left="0.7" right="0.7" top="0.62" bottom="0.75" header="0" footer="0"/>
  <pageSetup paperSize="9" scale="74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1">
        <v>1</v>
      </c>
      <c r="B4" s="15" t="s">
        <v>188</v>
      </c>
    </row>
    <row r="5" spans="1:2" ht="14.25" customHeight="1" x14ac:dyDescent="0.3">
      <c r="A5" s="1">
        <v>2</v>
      </c>
      <c r="B5" s="15" t="s">
        <v>189</v>
      </c>
    </row>
    <row r="6" spans="1:2" ht="14.25" customHeight="1" x14ac:dyDescent="0.3">
      <c r="A6" s="1">
        <v>3</v>
      </c>
      <c r="B6" s="15" t="s">
        <v>190</v>
      </c>
    </row>
    <row r="7" spans="1:2" ht="14.25" customHeight="1" x14ac:dyDescent="0.3">
      <c r="A7" s="1">
        <v>4</v>
      </c>
      <c r="B7" s="15" t="s">
        <v>191</v>
      </c>
    </row>
    <row r="8" spans="1:2" ht="14.25" customHeight="1" x14ac:dyDescent="0.3">
      <c r="A8" s="1">
        <v>5</v>
      </c>
      <c r="B8" s="15" t="s">
        <v>192</v>
      </c>
    </row>
    <row r="9" spans="1:2" ht="14.25" customHeight="1" x14ac:dyDescent="0.3">
      <c r="A9" s="1">
        <v>6</v>
      </c>
      <c r="B9" s="15" t="s">
        <v>193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1">
        <v>1</v>
      </c>
      <c r="B4" s="15" t="s">
        <v>194</v>
      </c>
    </row>
    <row r="5" spans="1:2" ht="14.25" customHeight="1" x14ac:dyDescent="0.3">
      <c r="A5" s="1">
        <v>2</v>
      </c>
      <c r="B5" s="15" t="s">
        <v>195</v>
      </c>
    </row>
    <row r="6" spans="1:2" ht="14.25" customHeight="1" x14ac:dyDescent="0.3">
      <c r="A6" s="1">
        <v>3</v>
      </c>
      <c r="B6" s="15" t="s">
        <v>196</v>
      </c>
    </row>
    <row r="7" spans="1:2" ht="14.25" customHeight="1" x14ac:dyDescent="0.3">
      <c r="A7" s="1">
        <v>4</v>
      </c>
      <c r="B7" s="15" t="s">
        <v>197</v>
      </c>
    </row>
    <row r="8" spans="1:2" ht="14.25" customHeight="1" x14ac:dyDescent="0.3">
      <c r="A8" s="1">
        <v>5</v>
      </c>
      <c r="B8" s="15" t="s">
        <v>198</v>
      </c>
    </row>
    <row r="9" spans="1:2" ht="14.25" customHeight="1" x14ac:dyDescent="0.3">
      <c r="A9" s="13"/>
    </row>
    <row r="10" spans="1:2" ht="14.25" customHeight="1" x14ac:dyDescent="0.3">
      <c r="A10" s="13"/>
    </row>
    <row r="11" spans="1:2" ht="14.25" customHeight="1" x14ac:dyDescent="0.3">
      <c r="A11" s="13"/>
    </row>
    <row r="12" spans="1:2" ht="14.25" customHeight="1" x14ac:dyDescent="0.3">
      <c r="A12" s="13"/>
    </row>
    <row r="13" spans="1:2" ht="14.25" customHeight="1" x14ac:dyDescent="0.3">
      <c r="A13" s="13"/>
    </row>
    <row r="14" spans="1:2" ht="14.25" customHeight="1" x14ac:dyDescent="0.3">
      <c r="A14" s="13"/>
    </row>
    <row r="15" spans="1:2" ht="14.25" customHeight="1" x14ac:dyDescent="0.3">
      <c r="A15" s="13"/>
    </row>
    <row r="16" spans="1:2" ht="14.25" customHeight="1" x14ac:dyDescent="0.3">
      <c r="A16" s="13"/>
    </row>
    <row r="17" spans="1:1" ht="14.25" customHeight="1" x14ac:dyDescent="0.3">
      <c r="A17" s="13"/>
    </row>
    <row r="18" spans="1:1" ht="14.25" customHeight="1" x14ac:dyDescent="0.3">
      <c r="A18" s="13"/>
    </row>
    <row r="19" spans="1:1" ht="14.25" customHeight="1" x14ac:dyDescent="0.3">
      <c r="A19" s="13"/>
    </row>
    <row r="20" spans="1:1" ht="14.25" customHeight="1" x14ac:dyDescent="0.3">
      <c r="A20" s="13"/>
    </row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71.33203125" customWidth="1"/>
    <col min="3" max="26" width="9" customWidth="1"/>
  </cols>
  <sheetData>
    <row r="1" spans="1:2" ht="14.25" customHeight="1" x14ac:dyDescent="0.3">
      <c r="A1" s="238" t="s">
        <v>147</v>
      </c>
      <c r="B1" s="219"/>
    </row>
    <row r="2" spans="1:2" ht="14.25" customHeight="1" x14ac:dyDescent="0.3"/>
    <row r="3" spans="1:2" ht="14.25" customHeight="1" x14ac:dyDescent="0.3">
      <c r="A3" s="7" t="s">
        <v>148</v>
      </c>
      <c r="B3" s="7" t="s">
        <v>149</v>
      </c>
    </row>
    <row r="4" spans="1:2" ht="14.25" customHeight="1" x14ac:dyDescent="0.3">
      <c r="A4" s="1">
        <v>1</v>
      </c>
      <c r="B4" s="15" t="s">
        <v>199</v>
      </c>
    </row>
    <row r="5" spans="1:2" ht="14.25" customHeight="1" x14ac:dyDescent="0.3">
      <c r="A5" s="1">
        <v>2</v>
      </c>
      <c r="B5" s="15" t="s">
        <v>200</v>
      </c>
    </row>
    <row r="6" spans="1:2" ht="14.25" customHeight="1" x14ac:dyDescent="0.3">
      <c r="A6" s="1">
        <v>3</v>
      </c>
      <c r="B6" s="15" t="s">
        <v>201</v>
      </c>
    </row>
    <row r="7" spans="1:2" ht="14.25" customHeight="1" x14ac:dyDescent="0.3">
      <c r="A7" s="1">
        <v>4</v>
      </c>
      <c r="B7" s="15" t="s">
        <v>202</v>
      </c>
    </row>
    <row r="8" spans="1:2" ht="14.25" customHeight="1" x14ac:dyDescent="0.3">
      <c r="A8" s="1">
        <v>5</v>
      </c>
      <c r="B8" s="15" t="s">
        <v>203</v>
      </c>
    </row>
    <row r="9" spans="1:2" ht="14.25" customHeight="1" x14ac:dyDescent="0.3">
      <c r="A9" s="1">
        <v>6</v>
      </c>
      <c r="B9" s="15" t="s">
        <v>204</v>
      </c>
    </row>
    <row r="10" spans="1:2" ht="14.25" customHeight="1" x14ac:dyDescent="0.3">
      <c r="A10" s="1">
        <v>7</v>
      </c>
      <c r="B10" s="15" t="s">
        <v>205</v>
      </c>
    </row>
    <row r="11" spans="1:2" ht="14.25" customHeight="1" x14ac:dyDescent="0.3">
      <c r="A11" s="1">
        <v>8</v>
      </c>
      <c r="B11" s="15" t="s">
        <v>206</v>
      </c>
    </row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B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F39"/>
  <sheetViews>
    <sheetView workbookViewId="0">
      <selection activeCell="A3" sqref="A3:F37"/>
    </sheetView>
  </sheetViews>
  <sheetFormatPr defaultRowHeight="14.4" x14ac:dyDescent="0.3"/>
  <cols>
    <col min="1" max="1" width="4.6640625" customWidth="1"/>
    <col min="2" max="2" width="49" customWidth="1"/>
    <col min="3" max="3" width="20.44140625" customWidth="1"/>
    <col min="4" max="4" width="23.109375" customWidth="1"/>
    <col min="5" max="5" width="18.5546875" customWidth="1"/>
    <col min="6" max="6" width="17.44140625" customWidth="1"/>
  </cols>
  <sheetData>
    <row r="3" spans="1:6" x14ac:dyDescent="0.3">
      <c r="A3" s="111" t="s">
        <v>3</v>
      </c>
      <c r="B3" s="111" t="s">
        <v>362</v>
      </c>
      <c r="C3" s="111" t="s">
        <v>375</v>
      </c>
      <c r="D3" s="111" t="s">
        <v>366</v>
      </c>
      <c r="E3" s="111" t="s">
        <v>19</v>
      </c>
      <c r="F3" s="111" t="s">
        <v>211</v>
      </c>
    </row>
    <row r="4" spans="1:6" x14ac:dyDescent="0.3">
      <c r="A4" s="112">
        <v>1</v>
      </c>
      <c r="B4" s="111" t="s">
        <v>363</v>
      </c>
      <c r="C4" s="111"/>
      <c r="D4" s="112"/>
      <c r="E4" s="112"/>
      <c r="F4" s="112"/>
    </row>
    <row r="5" spans="1:6" x14ac:dyDescent="0.3">
      <c r="A5" s="112"/>
      <c r="B5" s="111" t="s">
        <v>367</v>
      </c>
      <c r="C5" s="111"/>
      <c r="D5" s="112"/>
      <c r="E5" s="112"/>
      <c r="F5" s="112"/>
    </row>
    <row r="6" spans="1:6" x14ac:dyDescent="0.3">
      <c r="A6" s="112"/>
      <c r="B6" s="111" t="s">
        <v>368</v>
      </c>
      <c r="C6" s="111"/>
      <c r="D6" s="112"/>
      <c r="E6" s="112"/>
      <c r="F6" s="112"/>
    </row>
    <row r="7" spans="1:6" x14ac:dyDescent="0.3">
      <c r="A7" s="112"/>
      <c r="B7" s="111" t="s">
        <v>369</v>
      </c>
      <c r="C7" s="111"/>
      <c r="D7" s="112"/>
      <c r="E7" s="112"/>
      <c r="F7" s="112"/>
    </row>
    <row r="8" spans="1:6" x14ac:dyDescent="0.3">
      <c r="A8" s="112"/>
      <c r="B8" s="111" t="s">
        <v>370</v>
      </c>
      <c r="C8" s="111"/>
      <c r="D8" s="112"/>
      <c r="E8" s="112"/>
      <c r="F8" s="112"/>
    </row>
    <row r="9" spans="1:6" x14ac:dyDescent="0.3">
      <c r="A9" s="112"/>
      <c r="B9" s="111" t="s">
        <v>371</v>
      </c>
      <c r="C9" s="111"/>
      <c r="D9" s="112"/>
      <c r="E9" s="112"/>
      <c r="F9" s="112"/>
    </row>
    <row r="10" spans="1:6" x14ac:dyDescent="0.3">
      <c r="A10" s="112"/>
      <c r="B10" s="111" t="s">
        <v>372</v>
      </c>
      <c r="C10" s="111"/>
      <c r="D10" s="112"/>
      <c r="E10" s="112"/>
      <c r="F10" s="112"/>
    </row>
    <row r="11" spans="1:6" x14ac:dyDescent="0.3">
      <c r="A11" s="112"/>
      <c r="B11" s="111" t="s">
        <v>373</v>
      </c>
      <c r="C11" s="111"/>
      <c r="D11" s="112"/>
      <c r="E11" s="112"/>
      <c r="F11" s="112"/>
    </row>
    <row r="12" spans="1:6" x14ac:dyDescent="0.3">
      <c r="A12" s="112"/>
      <c r="B12" s="111" t="s">
        <v>374</v>
      </c>
      <c r="C12" s="111"/>
      <c r="D12" s="112"/>
      <c r="E12" s="112"/>
      <c r="F12" s="112"/>
    </row>
    <row r="13" spans="1:6" x14ac:dyDescent="0.3">
      <c r="A13" s="112"/>
      <c r="B13" s="111"/>
      <c r="C13" s="111"/>
      <c r="D13" s="112"/>
      <c r="E13" s="112"/>
      <c r="F13" s="112"/>
    </row>
    <row r="14" spans="1:6" x14ac:dyDescent="0.3">
      <c r="A14" s="112">
        <v>2</v>
      </c>
      <c r="B14" s="111" t="s">
        <v>364</v>
      </c>
      <c r="C14" s="111"/>
      <c r="D14" s="112"/>
      <c r="E14" s="112"/>
      <c r="F14" s="112"/>
    </row>
    <row r="15" spans="1:6" x14ac:dyDescent="0.3">
      <c r="A15" s="112"/>
      <c r="B15" s="111" t="s">
        <v>376</v>
      </c>
      <c r="C15" s="111"/>
      <c r="D15" s="112"/>
      <c r="E15" s="112"/>
      <c r="F15" s="112"/>
    </row>
    <row r="16" spans="1:6" x14ac:dyDescent="0.3">
      <c r="A16" s="112"/>
      <c r="B16" s="113" t="s">
        <v>377</v>
      </c>
      <c r="C16" s="111"/>
      <c r="D16" s="112"/>
      <c r="E16" s="112"/>
      <c r="F16" s="112"/>
    </row>
    <row r="17" spans="1:6" x14ac:dyDescent="0.3">
      <c r="A17" s="112"/>
      <c r="B17" s="111" t="s">
        <v>378</v>
      </c>
      <c r="C17" s="111"/>
      <c r="D17" s="112"/>
      <c r="E17" s="112"/>
      <c r="F17" s="112"/>
    </row>
    <row r="18" spans="1:6" x14ac:dyDescent="0.3">
      <c r="A18" s="112"/>
      <c r="B18" s="111" t="s">
        <v>379</v>
      </c>
      <c r="C18" s="111"/>
      <c r="D18" s="112"/>
      <c r="E18" s="112"/>
      <c r="F18" s="112"/>
    </row>
    <row r="19" spans="1:6" x14ac:dyDescent="0.3">
      <c r="A19" s="112"/>
      <c r="B19" s="111" t="s">
        <v>380</v>
      </c>
      <c r="C19" s="111"/>
      <c r="D19" s="112"/>
      <c r="E19" s="112"/>
      <c r="F19" s="112"/>
    </row>
    <row r="20" spans="1:6" x14ac:dyDescent="0.3">
      <c r="A20" s="112"/>
      <c r="B20" s="111" t="s">
        <v>381</v>
      </c>
      <c r="C20" s="111"/>
      <c r="D20" s="112"/>
      <c r="E20" s="112"/>
      <c r="F20" s="112"/>
    </row>
    <row r="21" spans="1:6" x14ac:dyDescent="0.3">
      <c r="A21" s="112"/>
      <c r="B21" s="111" t="s">
        <v>382</v>
      </c>
      <c r="C21" s="111"/>
      <c r="D21" s="112"/>
      <c r="E21" s="112"/>
      <c r="F21" s="112"/>
    </row>
    <row r="22" spans="1:6" x14ac:dyDescent="0.3">
      <c r="A22" s="112"/>
      <c r="B22" s="111" t="s">
        <v>383</v>
      </c>
      <c r="C22" s="111"/>
      <c r="D22" s="112"/>
      <c r="E22" s="112"/>
      <c r="F22" s="112"/>
    </row>
    <row r="23" spans="1:6" x14ac:dyDescent="0.3">
      <c r="A23" s="112"/>
      <c r="B23" s="111" t="s">
        <v>384</v>
      </c>
      <c r="C23" s="111"/>
      <c r="D23" s="112"/>
      <c r="E23" s="112"/>
      <c r="F23" s="112"/>
    </row>
    <row r="24" spans="1:6" x14ac:dyDescent="0.3">
      <c r="A24" s="112"/>
      <c r="B24" s="111" t="s">
        <v>385</v>
      </c>
      <c r="C24" s="111"/>
      <c r="D24" s="112"/>
      <c r="E24" s="112"/>
      <c r="F24" s="112"/>
    </row>
    <row r="25" spans="1:6" x14ac:dyDescent="0.3">
      <c r="A25" s="112"/>
      <c r="B25" s="111" t="s">
        <v>386</v>
      </c>
      <c r="C25" s="111"/>
      <c r="D25" s="112"/>
      <c r="E25" s="112"/>
      <c r="F25" s="112"/>
    </row>
    <row r="26" spans="1:6" x14ac:dyDescent="0.3">
      <c r="A26" s="112"/>
      <c r="B26" s="111" t="s">
        <v>387</v>
      </c>
      <c r="C26" s="111"/>
      <c r="D26" s="112"/>
      <c r="E26" s="112"/>
      <c r="F26" s="112"/>
    </row>
    <row r="27" spans="1:6" x14ac:dyDescent="0.3">
      <c r="A27" s="112"/>
      <c r="B27" s="111"/>
      <c r="C27" s="111"/>
      <c r="D27" s="112"/>
      <c r="E27" s="112"/>
      <c r="F27" s="112"/>
    </row>
    <row r="28" spans="1:6" x14ac:dyDescent="0.3">
      <c r="A28" s="112"/>
      <c r="B28" s="111"/>
      <c r="C28" s="111"/>
      <c r="D28" s="112"/>
      <c r="E28" s="112"/>
      <c r="F28" s="112"/>
    </row>
    <row r="29" spans="1:6" x14ac:dyDescent="0.3">
      <c r="A29" s="112">
        <v>3</v>
      </c>
      <c r="B29" s="111" t="s">
        <v>365</v>
      </c>
      <c r="C29" s="111"/>
      <c r="D29" s="112"/>
      <c r="E29" s="112"/>
      <c r="F29" s="112"/>
    </row>
    <row r="30" spans="1:6" x14ac:dyDescent="0.3">
      <c r="A30" s="112"/>
      <c r="B30" s="111" t="s">
        <v>388</v>
      </c>
      <c r="C30" s="112"/>
      <c r="D30" s="112"/>
      <c r="E30" s="112"/>
      <c r="F30" s="112"/>
    </row>
    <row r="31" spans="1:6" x14ac:dyDescent="0.3">
      <c r="A31" s="112"/>
      <c r="B31" s="111" t="s">
        <v>389</v>
      </c>
      <c r="C31" s="112"/>
      <c r="D31" s="112"/>
      <c r="E31" s="112"/>
      <c r="F31" s="112"/>
    </row>
    <row r="32" spans="1:6" x14ac:dyDescent="0.3">
      <c r="A32" s="112"/>
      <c r="B32" s="111" t="s">
        <v>390</v>
      </c>
      <c r="C32" s="112"/>
      <c r="D32" s="112"/>
      <c r="E32" s="112"/>
      <c r="F32" s="112"/>
    </row>
    <row r="33" spans="1:6" x14ac:dyDescent="0.3">
      <c r="A33" s="112"/>
      <c r="B33" s="111" t="s">
        <v>391</v>
      </c>
      <c r="C33" s="112"/>
      <c r="D33" s="112"/>
      <c r="E33" s="112"/>
      <c r="F33" s="112"/>
    </row>
    <row r="34" spans="1:6" x14ac:dyDescent="0.3">
      <c r="A34" s="112"/>
      <c r="B34" s="111" t="s">
        <v>392</v>
      </c>
      <c r="C34" s="112"/>
      <c r="D34" s="112"/>
      <c r="E34" s="112"/>
      <c r="F34" s="112"/>
    </row>
    <row r="35" spans="1:6" x14ac:dyDescent="0.3">
      <c r="A35" s="112"/>
      <c r="B35" s="111" t="s">
        <v>393</v>
      </c>
      <c r="C35" s="112"/>
      <c r="D35" s="112"/>
      <c r="E35" s="112"/>
      <c r="F35" s="112"/>
    </row>
    <row r="36" spans="1:6" x14ac:dyDescent="0.3">
      <c r="A36" s="112"/>
      <c r="B36" s="111" t="s">
        <v>394</v>
      </c>
      <c r="C36" s="112"/>
      <c r="D36" s="112"/>
      <c r="E36" s="112"/>
      <c r="F36" s="112"/>
    </row>
    <row r="37" spans="1:6" x14ac:dyDescent="0.3">
      <c r="A37" s="112"/>
      <c r="B37" s="111" t="s">
        <v>395</v>
      </c>
      <c r="C37" s="112"/>
      <c r="D37" s="112"/>
      <c r="E37" s="112"/>
      <c r="F37" s="112"/>
    </row>
    <row r="38" spans="1:6" x14ac:dyDescent="0.3">
      <c r="A38" s="112"/>
      <c r="B38" s="111"/>
      <c r="C38" s="112"/>
      <c r="D38" s="112"/>
      <c r="E38" s="112"/>
      <c r="F38" s="112"/>
    </row>
    <row r="39" spans="1:6" x14ac:dyDescent="0.3">
      <c r="A39" s="112"/>
      <c r="B39" s="112"/>
      <c r="C39" s="112"/>
      <c r="D39" s="112"/>
      <c r="E39" s="112"/>
      <c r="F39" s="11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topLeftCell="A34" zoomScale="55" zoomScaleNormal="55" workbookViewId="0"/>
  </sheetViews>
  <sheetFormatPr defaultColWidth="14.44140625" defaultRowHeight="15" customHeight="1" x14ac:dyDescent="0.3"/>
  <cols>
    <col min="1" max="3" width="3.5546875" customWidth="1"/>
    <col min="4" max="4" width="57.33203125" customWidth="1"/>
    <col min="5" max="6" width="27.88671875" customWidth="1"/>
    <col min="7" max="8" width="8.6640625" customWidth="1"/>
    <col min="9" max="11" width="19.88671875" customWidth="1"/>
    <col min="12" max="26" width="8.6640625" customWidth="1"/>
  </cols>
  <sheetData>
    <row r="1" spans="1:26" ht="14.25" customHeight="1" x14ac:dyDescent="0.3">
      <c r="A1" s="13"/>
      <c r="B1" s="87"/>
      <c r="C1" s="87"/>
      <c r="D1" s="87"/>
      <c r="E1" s="87"/>
      <c r="F1" s="87"/>
      <c r="G1" s="87"/>
      <c r="H1" s="87"/>
      <c r="I1" s="250" t="s">
        <v>207</v>
      </c>
      <c r="J1" s="246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25" customHeight="1" x14ac:dyDescent="0.3">
      <c r="A2" s="13"/>
      <c r="B2" s="87"/>
      <c r="C2" s="251" t="s">
        <v>0</v>
      </c>
      <c r="D2" s="219"/>
      <c r="E2" s="219"/>
      <c r="F2" s="219"/>
      <c r="G2" s="219"/>
      <c r="H2" s="219"/>
      <c r="I2" s="219"/>
      <c r="J2" s="219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4.25" customHeight="1" x14ac:dyDescent="0.3">
      <c r="A3" s="13"/>
      <c r="B3" s="87"/>
      <c r="C3" s="252" t="s">
        <v>1</v>
      </c>
      <c r="D3" s="219"/>
      <c r="E3" s="219"/>
      <c r="F3" s="219"/>
      <c r="G3" s="219"/>
      <c r="H3" s="219"/>
      <c r="I3" s="219"/>
      <c r="J3" s="219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4.25" customHeight="1" x14ac:dyDescent="0.3">
      <c r="A4" s="13"/>
      <c r="B4" s="87"/>
      <c r="C4" s="252" t="s">
        <v>167</v>
      </c>
      <c r="D4" s="219"/>
      <c r="E4" s="219"/>
      <c r="F4" s="219"/>
      <c r="G4" s="219"/>
      <c r="H4" s="219"/>
      <c r="I4" s="219"/>
      <c r="J4" s="219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4.25" customHeight="1" x14ac:dyDescent="0.3">
      <c r="A5" s="13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4.25" customHeight="1" x14ac:dyDescent="0.3">
      <c r="A6" s="13"/>
      <c r="B6" s="87"/>
      <c r="C6" s="93" t="s">
        <v>208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4.25" customHeight="1" x14ac:dyDescent="0.3">
      <c r="A7" s="13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4.25" customHeight="1" x14ac:dyDescent="0.3">
      <c r="A8" s="253" t="s">
        <v>3</v>
      </c>
      <c r="B8" s="255" t="s">
        <v>209</v>
      </c>
      <c r="C8" s="256"/>
      <c r="D8" s="257"/>
      <c r="E8" s="254" t="s">
        <v>210</v>
      </c>
      <c r="F8" s="246"/>
      <c r="G8" s="254" t="s">
        <v>211</v>
      </c>
      <c r="H8" s="246"/>
      <c r="I8" s="249" t="s">
        <v>212</v>
      </c>
      <c r="J8" s="249" t="s">
        <v>213</v>
      </c>
      <c r="K8" s="249" t="s">
        <v>214</v>
      </c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4.25" customHeight="1" x14ac:dyDescent="0.3">
      <c r="A9" s="194"/>
      <c r="B9" s="258"/>
      <c r="C9" s="227"/>
      <c r="D9" s="259"/>
      <c r="E9" s="6" t="s">
        <v>215</v>
      </c>
      <c r="F9" s="6" t="s">
        <v>216</v>
      </c>
      <c r="G9" s="6" t="s">
        <v>215</v>
      </c>
      <c r="H9" s="6" t="s">
        <v>216</v>
      </c>
      <c r="I9" s="194"/>
      <c r="J9" s="194"/>
      <c r="K9" s="194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30.75" customHeight="1" x14ac:dyDescent="0.3">
      <c r="A10" s="1">
        <v>1</v>
      </c>
      <c r="B10" s="260" t="s">
        <v>217</v>
      </c>
      <c r="C10" s="261"/>
      <c r="D10" s="246"/>
      <c r="E10" s="248"/>
      <c r="F10" s="246"/>
      <c r="G10" s="248"/>
      <c r="H10" s="246"/>
      <c r="I10" s="94"/>
      <c r="J10" s="94"/>
      <c r="K10" s="94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4.25" customHeight="1" x14ac:dyDescent="0.3">
      <c r="A11" s="1"/>
      <c r="B11" s="94" t="s">
        <v>40</v>
      </c>
      <c r="C11" s="245" t="s">
        <v>218</v>
      </c>
      <c r="D11" s="246"/>
      <c r="E11" s="94" t="s">
        <v>219</v>
      </c>
      <c r="F11" s="94" t="s">
        <v>220</v>
      </c>
      <c r="G11" s="94"/>
      <c r="H11" s="94"/>
      <c r="I11" s="95" t="s">
        <v>221</v>
      </c>
      <c r="J11" s="95" t="s">
        <v>221</v>
      </c>
      <c r="K11" s="95" t="s">
        <v>221</v>
      </c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4.25" customHeight="1" x14ac:dyDescent="0.3">
      <c r="A12" s="1"/>
      <c r="B12" s="94" t="s">
        <v>42</v>
      </c>
      <c r="C12" s="245" t="s">
        <v>222</v>
      </c>
      <c r="D12" s="246"/>
      <c r="E12" s="94" t="s">
        <v>219</v>
      </c>
      <c r="F12" s="94" t="s">
        <v>223</v>
      </c>
      <c r="G12" s="94"/>
      <c r="H12" s="94"/>
      <c r="I12" s="94"/>
      <c r="J12" s="94"/>
      <c r="K12" s="94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spans="1:26" ht="14.25" customHeight="1" x14ac:dyDescent="0.3">
      <c r="A13" s="1">
        <v>2</v>
      </c>
      <c r="B13" s="245" t="s">
        <v>224</v>
      </c>
      <c r="C13" s="261"/>
      <c r="D13" s="246"/>
      <c r="E13" s="94" t="s">
        <v>225</v>
      </c>
      <c r="F13" s="94" t="s">
        <v>226</v>
      </c>
      <c r="G13" s="94"/>
      <c r="H13" s="94"/>
      <c r="I13" s="94"/>
      <c r="J13" s="94"/>
      <c r="K13" s="94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4.25" customHeight="1" x14ac:dyDescent="0.3">
      <c r="A14" s="1">
        <v>3</v>
      </c>
      <c r="B14" s="245" t="s">
        <v>227</v>
      </c>
      <c r="C14" s="261"/>
      <c r="D14" s="246"/>
      <c r="E14" s="94" t="s">
        <v>228</v>
      </c>
      <c r="F14" s="94" t="s">
        <v>229</v>
      </c>
      <c r="G14" s="94"/>
      <c r="H14" s="94"/>
      <c r="I14" s="94"/>
      <c r="J14" s="94"/>
      <c r="K14" s="94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4.25" customHeight="1" x14ac:dyDescent="0.3">
      <c r="A15" s="1">
        <v>4</v>
      </c>
      <c r="B15" s="245" t="s">
        <v>230</v>
      </c>
      <c r="C15" s="261"/>
      <c r="D15" s="246"/>
      <c r="E15" s="94" t="s">
        <v>231</v>
      </c>
      <c r="F15" s="94" t="s">
        <v>231</v>
      </c>
      <c r="G15" s="94"/>
      <c r="H15" s="94"/>
      <c r="I15" s="94"/>
      <c r="J15" s="94"/>
      <c r="K15" s="94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4.25" customHeight="1" x14ac:dyDescent="0.3">
      <c r="A16" s="1">
        <v>5</v>
      </c>
      <c r="B16" s="245" t="s">
        <v>232</v>
      </c>
      <c r="C16" s="261"/>
      <c r="D16" s="246"/>
      <c r="E16" s="94" t="s">
        <v>225</v>
      </c>
      <c r="F16" s="94" t="s">
        <v>233</v>
      </c>
      <c r="G16" s="94"/>
      <c r="H16" s="94"/>
      <c r="I16" s="94"/>
      <c r="J16" s="94"/>
      <c r="K16" s="94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30.75" customHeight="1" x14ac:dyDescent="0.3">
      <c r="A17" s="1">
        <v>6</v>
      </c>
      <c r="B17" s="260" t="s">
        <v>234</v>
      </c>
      <c r="C17" s="261"/>
      <c r="D17" s="246"/>
      <c r="E17" s="248"/>
      <c r="F17" s="246"/>
      <c r="G17" s="248"/>
      <c r="H17" s="246"/>
      <c r="I17" s="94"/>
      <c r="J17" s="94"/>
      <c r="K17" s="94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4.25" customHeight="1" x14ac:dyDescent="0.3">
      <c r="A18" s="1"/>
      <c r="B18" s="94" t="s">
        <v>40</v>
      </c>
      <c r="C18" s="245" t="s">
        <v>235</v>
      </c>
      <c r="D18" s="246"/>
      <c r="E18" s="94" t="s">
        <v>236</v>
      </c>
      <c r="F18" s="94" t="s">
        <v>237</v>
      </c>
      <c r="G18" s="94"/>
      <c r="H18" s="94"/>
      <c r="I18" s="94"/>
      <c r="J18" s="94"/>
      <c r="K18" s="94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4.25" customHeight="1" x14ac:dyDescent="0.3">
      <c r="A19" s="1"/>
      <c r="B19" s="94" t="s">
        <v>42</v>
      </c>
      <c r="C19" s="245" t="s">
        <v>238</v>
      </c>
      <c r="D19" s="246"/>
      <c r="E19" s="94" t="s">
        <v>239</v>
      </c>
      <c r="F19" s="94" t="s">
        <v>237</v>
      </c>
      <c r="G19" s="94"/>
      <c r="H19" s="94"/>
      <c r="I19" s="94"/>
      <c r="J19" s="94"/>
      <c r="K19" s="94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4.25" customHeight="1" x14ac:dyDescent="0.3">
      <c r="A20" s="1"/>
      <c r="B20" s="94" t="s">
        <v>44</v>
      </c>
      <c r="C20" s="245" t="s">
        <v>240</v>
      </c>
      <c r="D20" s="246"/>
      <c r="E20" s="94" t="s">
        <v>241</v>
      </c>
      <c r="F20" s="94" t="s">
        <v>237</v>
      </c>
      <c r="G20" s="94"/>
      <c r="H20" s="94"/>
      <c r="I20" s="94"/>
      <c r="J20" s="94"/>
      <c r="K20" s="94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4.25" customHeight="1" x14ac:dyDescent="0.3">
      <c r="A21" s="1">
        <v>7</v>
      </c>
      <c r="B21" s="245" t="s">
        <v>242</v>
      </c>
      <c r="C21" s="261"/>
      <c r="D21" s="246"/>
      <c r="E21" s="94" t="s">
        <v>243</v>
      </c>
      <c r="F21" s="94" t="s">
        <v>244</v>
      </c>
      <c r="G21" s="94"/>
      <c r="H21" s="94"/>
      <c r="I21" s="94"/>
      <c r="J21" s="94"/>
      <c r="K21" s="94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4.25" customHeight="1" x14ac:dyDescent="0.3">
      <c r="A22" s="1">
        <v>8</v>
      </c>
      <c r="B22" s="245" t="s">
        <v>245</v>
      </c>
      <c r="C22" s="261"/>
      <c r="D22" s="246"/>
      <c r="E22" s="94" t="s">
        <v>246</v>
      </c>
      <c r="F22" s="94" t="s">
        <v>247</v>
      </c>
      <c r="G22" s="94"/>
      <c r="H22" s="94"/>
      <c r="I22" s="94"/>
      <c r="J22" s="94"/>
      <c r="K22" s="94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4.25" customHeight="1" x14ac:dyDescent="0.3">
      <c r="A23" s="1">
        <v>9</v>
      </c>
      <c r="B23" s="245" t="s">
        <v>248</v>
      </c>
      <c r="C23" s="261"/>
      <c r="D23" s="246"/>
      <c r="E23" s="248"/>
      <c r="F23" s="246"/>
      <c r="G23" s="94"/>
      <c r="H23" s="94"/>
      <c r="I23" s="94"/>
      <c r="J23" s="94"/>
      <c r="K23" s="94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4.25" customHeight="1" x14ac:dyDescent="0.3">
      <c r="A24" s="1"/>
      <c r="B24" s="94" t="s">
        <v>40</v>
      </c>
      <c r="C24" s="262" t="s">
        <v>249</v>
      </c>
      <c r="D24" s="246"/>
      <c r="E24" s="94" t="s">
        <v>250</v>
      </c>
      <c r="F24" s="94" t="s">
        <v>250</v>
      </c>
      <c r="G24" s="94"/>
      <c r="H24" s="94"/>
      <c r="I24" s="94"/>
      <c r="J24" s="94"/>
      <c r="K24" s="94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4.25" customHeight="1" x14ac:dyDescent="0.3">
      <c r="A25" s="1"/>
      <c r="B25" s="94" t="s">
        <v>42</v>
      </c>
      <c r="C25" s="262" t="s">
        <v>251</v>
      </c>
      <c r="D25" s="246"/>
      <c r="E25" s="94" t="s">
        <v>250</v>
      </c>
      <c r="F25" s="94" t="s">
        <v>252</v>
      </c>
      <c r="G25" s="94"/>
      <c r="H25" s="94"/>
      <c r="I25" s="94"/>
      <c r="J25" s="94"/>
      <c r="K25" s="94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4.25" customHeight="1" x14ac:dyDescent="0.3">
      <c r="A26" s="1"/>
      <c r="B26" s="94" t="s">
        <v>44</v>
      </c>
      <c r="C26" s="262" t="s">
        <v>253</v>
      </c>
      <c r="D26" s="246"/>
      <c r="E26" s="94" t="s">
        <v>252</v>
      </c>
      <c r="F26" s="94" t="s">
        <v>254</v>
      </c>
      <c r="G26" s="94"/>
      <c r="H26" s="94"/>
      <c r="I26" s="94"/>
      <c r="J26" s="94"/>
      <c r="K26" s="94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4.25" customHeight="1" x14ac:dyDescent="0.3">
      <c r="A27" s="1">
        <v>10</v>
      </c>
      <c r="B27" s="262" t="s">
        <v>255</v>
      </c>
      <c r="C27" s="261"/>
      <c r="D27" s="246"/>
      <c r="E27" s="248"/>
      <c r="F27" s="246"/>
      <c r="G27" s="94"/>
      <c r="H27" s="94"/>
      <c r="I27" s="94"/>
      <c r="J27" s="94"/>
      <c r="K27" s="94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4.25" customHeight="1" x14ac:dyDescent="0.3">
      <c r="A28" s="1"/>
      <c r="B28" s="94" t="s">
        <v>40</v>
      </c>
      <c r="C28" s="262" t="s">
        <v>256</v>
      </c>
      <c r="D28" s="246"/>
      <c r="E28" s="248"/>
      <c r="F28" s="246"/>
      <c r="G28" s="94"/>
      <c r="H28" s="94"/>
      <c r="I28" s="94"/>
      <c r="J28" s="94"/>
      <c r="K28" s="94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55.5" customHeight="1" x14ac:dyDescent="0.3">
      <c r="A29" s="1"/>
      <c r="B29" s="94"/>
      <c r="C29" s="9" t="s">
        <v>257</v>
      </c>
      <c r="D29" s="96" t="s">
        <v>258</v>
      </c>
      <c r="E29" s="247" t="s">
        <v>259</v>
      </c>
      <c r="F29" s="246"/>
      <c r="G29" s="94"/>
      <c r="H29" s="94"/>
      <c r="I29" s="94"/>
      <c r="J29" s="94"/>
      <c r="K29" s="94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55.5" customHeight="1" x14ac:dyDescent="0.3">
      <c r="A30" s="1"/>
      <c r="B30" s="94"/>
      <c r="C30" s="9" t="s">
        <v>260</v>
      </c>
      <c r="D30" s="96" t="s">
        <v>261</v>
      </c>
      <c r="E30" s="247" t="s">
        <v>262</v>
      </c>
      <c r="F30" s="246"/>
      <c r="G30" s="94"/>
      <c r="H30" s="94"/>
      <c r="I30" s="94"/>
      <c r="J30" s="94"/>
      <c r="K30" s="94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4.25" customHeight="1" x14ac:dyDescent="0.3">
      <c r="A31" s="1"/>
      <c r="B31" s="94" t="s">
        <v>42</v>
      </c>
      <c r="C31" s="262" t="s">
        <v>263</v>
      </c>
      <c r="D31" s="246"/>
      <c r="E31" s="248"/>
      <c r="F31" s="246"/>
      <c r="G31" s="94"/>
      <c r="H31" s="94"/>
      <c r="I31" s="94"/>
      <c r="J31" s="94"/>
      <c r="K31" s="94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4.25" customHeight="1" x14ac:dyDescent="0.3">
      <c r="A32" s="1"/>
      <c r="B32" s="94"/>
      <c r="C32" s="94" t="s">
        <v>257</v>
      </c>
      <c r="D32" s="97" t="s">
        <v>264</v>
      </c>
      <c r="E32" s="248"/>
      <c r="F32" s="246"/>
      <c r="G32" s="94"/>
      <c r="H32" s="94"/>
      <c r="I32" s="94"/>
      <c r="J32" s="94"/>
      <c r="K32" s="94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55.5" customHeight="1" x14ac:dyDescent="0.3">
      <c r="A33" s="1"/>
      <c r="B33" s="94"/>
      <c r="C33" s="94"/>
      <c r="D33" s="96" t="s">
        <v>265</v>
      </c>
      <c r="E33" s="247" t="s">
        <v>266</v>
      </c>
      <c r="F33" s="246"/>
      <c r="G33" s="94"/>
      <c r="H33" s="94"/>
      <c r="I33" s="94"/>
      <c r="J33" s="94"/>
      <c r="K33" s="94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72.75" customHeight="1" x14ac:dyDescent="0.3">
      <c r="A34" s="1"/>
      <c r="B34" s="94"/>
      <c r="C34" s="94"/>
      <c r="D34" s="96" t="s">
        <v>267</v>
      </c>
      <c r="E34" s="247" t="s">
        <v>268</v>
      </c>
      <c r="F34" s="246"/>
      <c r="G34" s="94"/>
      <c r="H34" s="94"/>
      <c r="I34" s="94"/>
      <c r="J34" s="94"/>
      <c r="K34" s="94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14.25" customHeight="1" x14ac:dyDescent="0.3">
      <c r="A35" s="1"/>
      <c r="B35" s="94"/>
      <c r="C35" s="94" t="s">
        <v>260</v>
      </c>
      <c r="D35" s="97" t="s">
        <v>269</v>
      </c>
      <c r="E35" s="248"/>
      <c r="F35" s="246"/>
      <c r="G35" s="94"/>
      <c r="H35" s="94"/>
      <c r="I35" s="94"/>
      <c r="J35" s="94"/>
      <c r="K35" s="94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60" customHeight="1" x14ac:dyDescent="0.3">
      <c r="A36" s="1"/>
      <c r="B36" s="94"/>
      <c r="C36" s="94"/>
      <c r="D36" s="96" t="s">
        <v>265</v>
      </c>
      <c r="E36" s="247" t="s">
        <v>270</v>
      </c>
      <c r="F36" s="246"/>
      <c r="G36" s="94"/>
      <c r="H36" s="94"/>
      <c r="I36" s="94"/>
      <c r="J36" s="94"/>
      <c r="K36" s="94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75" customHeight="1" x14ac:dyDescent="0.3">
      <c r="A37" s="1"/>
      <c r="B37" s="94"/>
      <c r="C37" s="94"/>
      <c r="D37" s="96" t="s">
        <v>267</v>
      </c>
      <c r="E37" s="247" t="s">
        <v>268</v>
      </c>
      <c r="F37" s="246"/>
      <c r="G37" s="94"/>
      <c r="H37" s="94"/>
      <c r="I37" s="94"/>
      <c r="J37" s="94"/>
      <c r="K37" s="94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4.25" customHeight="1" x14ac:dyDescent="0.3">
      <c r="A38" s="1"/>
      <c r="B38" s="94"/>
      <c r="C38" s="94" t="s">
        <v>271</v>
      </c>
      <c r="D38" s="97" t="s">
        <v>272</v>
      </c>
      <c r="E38" s="248"/>
      <c r="F38" s="246"/>
      <c r="G38" s="94"/>
      <c r="H38" s="94"/>
      <c r="I38" s="94"/>
      <c r="J38" s="94"/>
      <c r="K38" s="94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57.75" customHeight="1" x14ac:dyDescent="0.3">
      <c r="A39" s="1"/>
      <c r="B39" s="94"/>
      <c r="C39" s="94"/>
      <c r="D39" s="96" t="s">
        <v>265</v>
      </c>
      <c r="E39" s="247" t="s">
        <v>273</v>
      </c>
      <c r="F39" s="246"/>
      <c r="G39" s="94"/>
      <c r="H39" s="94"/>
      <c r="I39" s="94"/>
      <c r="J39" s="94"/>
      <c r="K39" s="94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78" customHeight="1" x14ac:dyDescent="0.3">
      <c r="A40" s="1"/>
      <c r="B40" s="94"/>
      <c r="C40" s="94"/>
      <c r="D40" s="96" t="s">
        <v>267</v>
      </c>
      <c r="E40" s="247" t="s">
        <v>268</v>
      </c>
      <c r="F40" s="246"/>
      <c r="G40" s="94"/>
      <c r="H40" s="94"/>
      <c r="I40" s="94"/>
      <c r="J40" s="94"/>
      <c r="K40" s="94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4.25" customHeight="1" x14ac:dyDescent="0.3">
      <c r="A41" s="1"/>
      <c r="B41" s="94" t="s">
        <v>44</v>
      </c>
      <c r="C41" s="94" t="s">
        <v>274</v>
      </c>
      <c r="D41" s="94"/>
      <c r="E41" s="94"/>
      <c r="F41" s="94"/>
      <c r="G41" s="94"/>
      <c r="H41" s="94"/>
      <c r="I41" s="94"/>
      <c r="J41" s="94"/>
      <c r="K41" s="94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69" customHeight="1" x14ac:dyDescent="0.3">
      <c r="A42" s="1"/>
      <c r="B42" s="94"/>
      <c r="C42" s="9" t="s">
        <v>257</v>
      </c>
      <c r="D42" s="96" t="s">
        <v>258</v>
      </c>
      <c r="E42" s="247" t="s">
        <v>275</v>
      </c>
      <c r="F42" s="246"/>
      <c r="G42" s="94"/>
      <c r="H42" s="94"/>
      <c r="I42" s="94"/>
      <c r="J42" s="94"/>
      <c r="K42" s="94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69" customHeight="1" x14ac:dyDescent="0.3">
      <c r="A43" s="1"/>
      <c r="B43" s="94"/>
      <c r="C43" s="9" t="s">
        <v>260</v>
      </c>
      <c r="D43" s="96" t="s">
        <v>261</v>
      </c>
      <c r="E43" s="247" t="s">
        <v>262</v>
      </c>
      <c r="F43" s="246"/>
      <c r="G43" s="94"/>
      <c r="H43" s="94"/>
      <c r="I43" s="94"/>
      <c r="J43" s="94"/>
      <c r="K43" s="94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4.25" customHeight="1" x14ac:dyDescent="0.3">
      <c r="A44" s="1">
        <v>11</v>
      </c>
      <c r="B44" s="94" t="s">
        <v>276</v>
      </c>
      <c r="C44" s="94"/>
      <c r="D44" s="94"/>
      <c r="E44" s="94"/>
      <c r="F44" s="94"/>
      <c r="G44" s="94"/>
      <c r="H44" s="94"/>
      <c r="I44" s="94"/>
      <c r="J44" s="94"/>
      <c r="K44" s="94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27" customHeight="1" x14ac:dyDescent="0.3">
      <c r="A45" s="1"/>
      <c r="B45" s="9" t="s">
        <v>40</v>
      </c>
      <c r="C45" s="245" t="s">
        <v>277</v>
      </c>
      <c r="D45" s="246"/>
      <c r="E45" s="247" t="s">
        <v>278</v>
      </c>
      <c r="F45" s="246"/>
      <c r="G45" s="94"/>
      <c r="H45" s="94"/>
      <c r="I45" s="94"/>
      <c r="J45" s="94"/>
      <c r="K45" s="94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27" customHeight="1" x14ac:dyDescent="0.3">
      <c r="A46" s="1"/>
      <c r="B46" s="9" t="s">
        <v>42</v>
      </c>
      <c r="C46" s="245" t="s">
        <v>279</v>
      </c>
      <c r="D46" s="246"/>
      <c r="E46" s="247" t="s">
        <v>280</v>
      </c>
      <c r="F46" s="246"/>
      <c r="G46" s="94"/>
      <c r="H46" s="94"/>
      <c r="I46" s="94"/>
      <c r="J46" s="94"/>
      <c r="K46" s="94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4.25" customHeight="1" x14ac:dyDescent="0.3">
      <c r="A47" s="1"/>
      <c r="B47" s="9" t="s">
        <v>44</v>
      </c>
      <c r="C47" s="245" t="s">
        <v>281</v>
      </c>
      <c r="D47" s="246"/>
      <c r="E47" s="248" t="s">
        <v>282</v>
      </c>
      <c r="F47" s="246"/>
      <c r="G47" s="94"/>
      <c r="H47" s="94"/>
      <c r="I47" s="94"/>
      <c r="J47" s="94"/>
      <c r="K47" s="94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4.25" customHeight="1" x14ac:dyDescent="0.3">
      <c r="A48" s="1"/>
      <c r="B48" s="9" t="s">
        <v>46</v>
      </c>
      <c r="C48" s="94" t="s">
        <v>240</v>
      </c>
      <c r="D48" s="94"/>
      <c r="E48" s="248" t="s">
        <v>283</v>
      </c>
      <c r="F48" s="246"/>
      <c r="G48" s="94"/>
      <c r="H48" s="94"/>
      <c r="I48" s="94"/>
      <c r="J48" s="94"/>
      <c r="K48" s="94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4.25" customHeight="1" x14ac:dyDescent="0.3">
      <c r="A49" s="13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4.25" customHeight="1" x14ac:dyDescent="0.3">
      <c r="A50" s="13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4.25" customHeight="1" x14ac:dyDescent="0.3">
      <c r="A51" s="13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4.25" customHeight="1" x14ac:dyDescent="0.3">
      <c r="A52" s="13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4.25" customHeight="1" x14ac:dyDescent="0.3">
      <c r="A53" s="13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4.25" customHeight="1" x14ac:dyDescent="0.3">
      <c r="A54" s="13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4.25" customHeight="1" x14ac:dyDescent="0.3">
      <c r="A55" s="13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4.25" customHeight="1" x14ac:dyDescent="0.3">
      <c r="A56" s="13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4.25" customHeight="1" x14ac:dyDescent="0.3">
      <c r="A57" s="13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4.25" customHeight="1" x14ac:dyDescent="0.3">
      <c r="A58" s="13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4.25" customHeight="1" x14ac:dyDescent="0.3">
      <c r="A59" s="1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4.25" customHeight="1" x14ac:dyDescent="0.3">
      <c r="A60" s="13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4.25" customHeight="1" x14ac:dyDescent="0.3">
      <c r="A61" s="13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4.25" customHeight="1" x14ac:dyDescent="0.3">
      <c r="A62" s="13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4.25" customHeight="1" x14ac:dyDescent="0.3">
      <c r="A63" s="13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4.25" customHeight="1" x14ac:dyDescent="0.3">
      <c r="A64" s="13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4.25" customHeight="1" x14ac:dyDescent="0.3">
      <c r="A65" s="13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4.25" customHeight="1" x14ac:dyDescent="0.3">
      <c r="A66" s="13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4.25" customHeight="1" x14ac:dyDescent="0.3">
      <c r="A67" s="13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4.25" customHeight="1" x14ac:dyDescent="0.3">
      <c r="A68" s="13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4.25" customHeight="1" x14ac:dyDescent="0.3">
      <c r="A69" s="13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4.25" customHeight="1" x14ac:dyDescent="0.3">
      <c r="A70" s="13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4.25" customHeight="1" x14ac:dyDescent="0.3">
      <c r="A71" s="13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4.25" customHeight="1" x14ac:dyDescent="0.3">
      <c r="A72" s="13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4.25" customHeight="1" x14ac:dyDescent="0.3">
      <c r="A73" s="13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4.25" customHeight="1" x14ac:dyDescent="0.3">
      <c r="A74" s="13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4.25" customHeight="1" x14ac:dyDescent="0.3">
      <c r="A75" s="13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4.25" customHeight="1" x14ac:dyDescent="0.3">
      <c r="A76" s="13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4.25" customHeight="1" x14ac:dyDescent="0.3">
      <c r="A77" s="13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4.25" customHeight="1" x14ac:dyDescent="0.3">
      <c r="A78" s="13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4.25" customHeight="1" x14ac:dyDescent="0.3">
      <c r="A79" s="13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4.25" customHeight="1" x14ac:dyDescent="0.3">
      <c r="A80" s="13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4.25" customHeight="1" x14ac:dyDescent="0.3">
      <c r="A81" s="13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4.25" customHeight="1" x14ac:dyDescent="0.3">
      <c r="A82" s="13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4.25" customHeight="1" x14ac:dyDescent="0.3">
      <c r="A83" s="13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4.25" customHeight="1" x14ac:dyDescent="0.3">
      <c r="A84" s="13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4.25" customHeight="1" x14ac:dyDescent="0.3">
      <c r="A85" s="13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4.25" customHeight="1" x14ac:dyDescent="0.3">
      <c r="A86" s="13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4.25" customHeight="1" x14ac:dyDescent="0.3">
      <c r="A87" s="13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4.25" customHeight="1" x14ac:dyDescent="0.3">
      <c r="A88" s="13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4.25" customHeight="1" x14ac:dyDescent="0.3">
      <c r="A89" s="13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4.25" customHeight="1" x14ac:dyDescent="0.3">
      <c r="A90" s="13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4.25" customHeight="1" x14ac:dyDescent="0.3">
      <c r="A91" s="13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4.25" customHeight="1" x14ac:dyDescent="0.3">
      <c r="A92" s="13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4.25" customHeight="1" x14ac:dyDescent="0.3">
      <c r="A93" s="13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4.25" customHeight="1" x14ac:dyDescent="0.3">
      <c r="A94" s="13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4.25" customHeight="1" x14ac:dyDescent="0.3">
      <c r="A95" s="13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4.25" customHeight="1" x14ac:dyDescent="0.3">
      <c r="A96" s="13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4.25" customHeight="1" x14ac:dyDescent="0.3">
      <c r="A97" s="13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4.25" customHeight="1" x14ac:dyDescent="0.3">
      <c r="A98" s="13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4.25" customHeight="1" x14ac:dyDescent="0.3">
      <c r="A99" s="13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4.25" customHeight="1" x14ac:dyDescent="0.3">
      <c r="A100" s="13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4.25" customHeight="1" x14ac:dyDescent="0.3">
      <c r="A101" s="13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4.25" customHeight="1" x14ac:dyDescent="0.3">
      <c r="A102" s="13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4.25" customHeight="1" x14ac:dyDescent="0.3">
      <c r="A103" s="13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4.25" customHeight="1" x14ac:dyDescent="0.3">
      <c r="A104" s="13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4.25" customHeight="1" x14ac:dyDescent="0.3">
      <c r="A105" s="13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4.25" customHeight="1" x14ac:dyDescent="0.3">
      <c r="A106" s="13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4.25" customHeight="1" x14ac:dyDescent="0.3">
      <c r="A107" s="13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4.25" customHeight="1" x14ac:dyDescent="0.3">
      <c r="A108" s="13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4.25" customHeight="1" x14ac:dyDescent="0.3">
      <c r="A109" s="13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4.25" customHeight="1" x14ac:dyDescent="0.3">
      <c r="A110" s="13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4.25" customHeight="1" x14ac:dyDescent="0.3">
      <c r="A111" s="13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4.25" customHeight="1" x14ac:dyDescent="0.3">
      <c r="A112" s="13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4.25" customHeight="1" x14ac:dyDescent="0.3">
      <c r="A113" s="13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4.25" customHeight="1" x14ac:dyDescent="0.3">
      <c r="A114" s="13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4.25" customHeight="1" x14ac:dyDescent="0.3">
      <c r="A115" s="13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4.25" customHeight="1" x14ac:dyDescent="0.3">
      <c r="A116" s="13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4.25" customHeight="1" x14ac:dyDescent="0.3">
      <c r="A117" s="13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4.25" customHeight="1" x14ac:dyDescent="0.3">
      <c r="A118" s="13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4.25" customHeight="1" x14ac:dyDescent="0.3">
      <c r="A119" s="13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4.25" customHeight="1" x14ac:dyDescent="0.3">
      <c r="A120" s="13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4.25" customHeight="1" x14ac:dyDescent="0.3">
      <c r="A121" s="13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4.25" customHeight="1" x14ac:dyDescent="0.3">
      <c r="A122" s="13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4.25" customHeight="1" x14ac:dyDescent="0.3">
      <c r="A123" s="13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4.25" customHeight="1" x14ac:dyDescent="0.3">
      <c r="A124" s="13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4.25" customHeight="1" x14ac:dyDescent="0.3">
      <c r="A125" s="13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4.25" customHeight="1" x14ac:dyDescent="0.3">
      <c r="A126" s="13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4.25" customHeight="1" x14ac:dyDescent="0.3">
      <c r="A127" s="13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4.25" customHeight="1" x14ac:dyDescent="0.3">
      <c r="A128" s="13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4.25" customHeight="1" x14ac:dyDescent="0.3">
      <c r="A129" s="13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4.25" customHeight="1" x14ac:dyDescent="0.3">
      <c r="A130" s="13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4.25" customHeight="1" x14ac:dyDescent="0.3">
      <c r="A131" s="13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4.25" customHeight="1" x14ac:dyDescent="0.3">
      <c r="A132" s="13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4.25" customHeight="1" x14ac:dyDescent="0.3">
      <c r="A133" s="13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4.25" customHeight="1" x14ac:dyDescent="0.3">
      <c r="A134" s="13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4.25" customHeight="1" x14ac:dyDescent="0.3">
      <c r="A135" s="13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4.25" customHeight="1" x14ac:dyDescent="0.3">
      <c r="A136" s="13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4.25" customHeight="1" x14ac:dyDescent="0.3">
      <c r="A137" s="13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4.25" customHeight="1" x14ac:dyDescent="0.3">
      <c r="A138" s="13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4.25" customHeight="1" x14ac:dyDescent="0.3">
      <c r="A139" s="13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4.25" customHeight="1" x14ac:dyDescent="0.3">
      <c r="A140" s="13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4.25" customHeight="1" x14ac:dyDescent="0.3">
      <c r="A141" s="13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4.25" customHeight="1" x14ac:dyDescent="0.3">
      <c r="A142" s="13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4.25" customHeight="1" x14ac:dyDescent="0.3">
      <c r="A143" s="13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4.25" customHeight="1" x14ac:dyDescent="0.3">
      <c r="A144" s="13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4.25" customHeight="1" x14ac:dyDescent="0.3">
      <c r="A145" s="13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4.25" customHeight="1" x14ac:dyDescent="0.3">
      <c r="A146" s="13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4.25" customHeight="1" x14ac:dyDescent="0.3">
      <c r="A147" s="13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4.25" customHeight="1" x14ac:dyDescent="0.3">
      <c r="A148" s="13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4.25" customHeight="1" x14ac:dyDescent="0.3">
      <c r="A149" s="13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4.25" customHeight="1" x14ac:dyDescent="0.3">
      <c r="A150" s="13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4.25" customHeight="1" x14ac:dyDescent="0.3">
      <c r="A151" s="13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4.25" customHeight="1" x14ac:dyDescent="0.3">
      <c r="A152" s="13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4.25" customHeight="1" x14ac:dyDescent="0.3">
      <c r="A153" s="13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4.25" customHeight="1" x14ac:dyDescent="0.3">
      <c r="A154" s="13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4.25" customHeight="1" x14ac:dyDescent="0.3">
      <c r="A155" s="13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4.25" customHeight="1" x14ac:dyDescent="0.3">
      <c r="A156" s="13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4.25" customHeight="1" x14ac:dyDescent="0.3">
      <c r="A157" s="13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4.25" customHeight="1" x14ac:dyDescent="0.3">
      <c r="A158" s="13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4.25" customHeight="1" x14ac:dyDescent="0.3">
      <c r="A159" s="13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4.25" customHeight="1" x14ac:dyDescent="0.3">
      <c r="A160" s="13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4.25" customHeight="1" x14ac:dyDescent="0.3">
      <c r="A161" s="13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4.25" customHeight="1" x14ac:dyDescent="0.3">
      <c r="A162" s="13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4.25" customHeight="1" x14ac:dyDescent="0.3">
      <c r="A163" s="13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4.25" customHeight="1" x14ac:dyDescent="0.3">
      <c r="A164" s="13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4.25" customHeight="1" x14ac:dyDescent="0.3">
      <c r="A165" s="13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4.25" customHeight="1" x14ac:dyDescent="0.3">
      <c r="A166" s="13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4.25" customHeight="1" x14ac:dyDescent="0.3">
      <c r="A167" s="13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4.25" customHeight="1" x14ac:dyDescent="0.3">
      <c r="A168" s="13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4.25" customHeight="1" x14ac:dyDescent="0.3">
      <c r="A169" s="13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4.25" customHeight="1" x14ac:dyDescent="0.3">
      <c r="A170" s="13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4.25" customHeight="1" x14ac:dyDescent="0.3">
      <c r="A171" s="13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4.25" customHeight="1" x14ac:dyDescent="0.3">
      <c r="A172" s="13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4.25" customHeight="1" x14ac:dyDescent="0.3">
      <c r="A173" s="13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4.25" customHeight="1" x14ac:dyDescent="0.3">
      <c r="A174" s="13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4.25" customHeight="1" x14ac:dyDescent="0.3">
      <c r="A175" s="13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4.25" customHeight="1" x14ac:dyDescent="0.3">
      <c r="A176" s="13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4.25" customHeight="1" x14ac:dyDescent="0.3">
      <c r="A177" s="13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4.25" customHeight="1" x14ac:dyDescent="0.3">
      <c r="A178" s="13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4.25" customHeight="1" x14ac:dyDescent="0.3">
      <c r="A179" s="13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4.25" customHeight="1" x14ac:dyDescent="0.3">
      <c r="A180" s="13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4.25" customHeight="1" x14ac:dyDescent="0.3">
      <c r="A181" s="13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4.25" customHeight="1" x14ac:dyDescent="0.3">
      <c r="A182" s="13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4.25" customHeight="1" x14ac:dyDescent="0.3">
      <c r="A183" s="13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4.25" customHeight="1" x14ac:dyDescent="0.3">
      <c r="A184" s="13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4.25" customHeight="1" x14ac:dyDescent="0.3">
      <c r="A185" s="13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4.25" customHeight="1" x14ac:dyDescent="0.3">
      <c r="A186" s="13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4.25" customHeight="1" x14ac:dyDescent="0.3">
      <c r="A187" s="13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4.25" customHeight="1" x14ac:dyDescent="0.3">
      <c r="A188" s="13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4.25" customHeight="1" x14ac:dyDescent="0.3">
      <c r="A189" s="13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4.25" customHeight="1" x14ac:dyDescent="0.3">
      <c r="A190" s="13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4.25" customHeight="1" x14ac:dyDescent="0.3">
      <c r="A191" s="13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4.25" customHeight="1" x14ac:dyDescent="0.3">
      <c r="A192" s="13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4.25" customHeight="1" x14ac:dyDescent="0.3">
      <c r="A193" s="13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4.25" customHeight="1" x14ac:dyDescent="0.3">
      <c r="A194" s="13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4.25" customHeight="1" x14ac:dyDescent="0.3">
      <c r="A195" s="13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4.25" customHeight="1" x14ac:dyDescent="0.3">
      <c r="A196" s="13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4.25" customHeight="1" x14ac:dyDescent="0.3">
      <c r="A197" s="13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4.25" customHeight="1" x14ac:dyDescent="0.3">
      <c r="A198" s="13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4.25" customHeight="1" x14ac:dyDescent="0.3">
      <c r="A199" s="13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4.25" customHeight="1" x14ac:dyDescent="0.3">
      <c r="A200" s="13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4.25" customHeight="1" x14ac:dyDescent="0.3">
      <c r="A201" s="13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4.25" customHeight="1" x14ac:dyDescent="0.3">
      <c r="A202" s="13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4.25" customHeight="1" x14ac:dyDescent="0.3">
      <c r="A203" s="13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4.25" customHeight="1" x14ac:dyDescent="0.3">
      <c r="A204" s="13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4.25" customHeight="1" x14ac:dyDescent="0.3">
      <c r="A205" s="13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4.25" customHeight="1" x14ac:dyDescent="0.3">
      <c r="A206" s="13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4.25" customHeight="1" x14ac:dyDescent="0.3">
      <c r="A207" s="13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4.25" customHeight="1" x14ac:dyDescent="0.3">
      <c r="A208" s="13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4.25" customHeight="1" x14ac:dyDescent="0.3">
      <c r="A209" s="13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4.25" customHeight="1" x14ac:dyDescent="0.3">
      <c r="A210" s="13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4.25" customHeight="1" x14ac:dyDescent="0.3">
      <c r="A211" s="13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4.25" customHeight="1" x14ac:dyDescent="0.3">
      <c r="A212" s="13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4.25" customHeight="1" x14ac:dyDescent="0.3">
      <c r="A213" s="13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4.25" customHeight="1" x14ac:dyDescent="0.3">
      <c r="A214" s="13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4.25" customHeight="1" x14ac:dyDescent="0.3">
      <c r="A215" s="13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4.25" customHeight="1" x14ac:dyDescent="0.3">
      <c r="A216" s="13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4.25" customHeight="1" x14ac:dyDescent="0.3">
      <c r="A217" s="13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4.25" customHeight="1" x14ac:dyDescent="0.3">
      <c r="A218" s="13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4.25" customHeight="1" x14ac:dyDescent="0.3">
      <c r="A219" s="13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4.25" customHeight="1" x14ac:dyDescent="0.3">
      <c r="A220" s="13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4.25" customHeight="1" x14ac:dyDescent="0.3">
      <c r="A221" s="13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4.25" customHeight="1" x14ac:dyDescent="0.3">
      <c r="A222" s="13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4.25" customHeight="1" x14ac:dyDescent="0.3">
      <c r="A223" s="13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4.25" customHeight="1" x14ac:dyDescent="0.3">
      <c r="A224" s="13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4.25" customHeight="1" x14ac:dyDescent="0.3">
      <c r="A225" s="13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4.25" customHeight="1" x14ac:dyDescent="0.3">
      <c r="A226" s="13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4.25" customHeight="1" x14ac:dyDescent="0.3">
      <c r="A227" s="13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4.25" customHeight="1" x14ac:dyDescent="0.3">
      <c r="A228" s="13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4.25" customHeight="1" x14ac:dyDescent="0.3">
      <c r="A229" s="13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4.25" customHeight="1" x14ac:dyDescent="0.3">
      <c r="A230" s="13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4.25" customHeight="1" x14ac:dyDescent="0.3">
      <c r="A231" s="13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4.25" customHeight="1" x14ac:dyDescent="0.3">
      <c r="A232" s="13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4.25" customHeight="1" x14ac:dyDescent="0.3">
      <c r="A233" s="13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4.25" customHeight="1" x14ac:dyDescent="0.3">
      <c r="A234" s="13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4.25" customHeight="1" x14ac:dyDescent="0.3">
      <c r="A235" s="13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4.25" customHeight="1" x14ac:dyDescent="0.3">
      <c r="A236" s="13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4.25" customHeight="1" x14ac:dyDescent="0.3">
      <c r="A237" s="13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4.25" customHeight="1" x14ac:dyDescent="0.3">
      <c r="A238" s="13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4.25" customHeight="1" x14ac:dyDescent="0.3">
      <c r="A239" s="13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4.25" customHeight="1" x14ac:dyDescent="0.3">
      <c r="A240" s="13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4.25" customHeight="1" x14ac:dyDescent="0.3">
      <c r="A241" s="13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4.25" customHeight="1" x14ac:dyDescent="0.3">
      <c r="A242" s="13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4.25" customHeight="1" x14ac:dyDescent="0.3">
      <c r="A243" s="13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4.25" customHeight="1" x14ac:dyDescent="0.3">
      <c r="A244" s="13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4.25" customHeight="1" x14ac:dyDescent="0.3">
      <c r="A245" s="13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4.25" customHeight="1" x14ac:dyDescent="0.3">
      <c r="A246" s="13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4.25" customHeight="1" x14ac:dyDescent="0.3">
      <c r="A247" s="13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4.25" customHeight="1" x14ac:dyDescent="0.3">
      <c r="A248" s="13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4.25" customHeight="1" x14ac:dyDescent="0.3">
      <c r="A249" s="13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4.25" customHeight="1" x14ac:dyDescent="0.3">
      <c r="A250" s="13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4.25" customHeight="1" x14ac:dyDescent="0.3">
      <c r="A251" s="13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4.25" customHeight="1" x14ac:dyDescent="0.3">
      <c r="A252" s="13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4.25" customHeight="1" x14ac:dyDescent="0.3">
      <c r="A253" s="13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4.25" customHeight="1" x14ac:dyDescent="0.3">
      <c r="A254" s="13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4.25" customHeight="1" x14ac:dyDescent="0.3">
      <c r="A255" s="13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4.25" customHeight="1" x14ac:dyDescent="0.3">
      <c r="A256" s="13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4.25" customHeight="1" x14ac:dyDescent="0.3">
      <c r="A257" s="13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4.25" customHeight="1" x14ac:dyDescent="0.3">
      <c r="A258" s="13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4.25" customHeight="1" x14ac:dyDescent="0.3">
      <c r="A259" s="13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4.25" customHeight="1" x14ac:dyDescent="0.3">
      <c r="A260" s="13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4.25" customHeight="1" x14ac:dyDescent="0.3">
      <c r="A261" s="13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4.25" customHeight="1" x14ac:dyDescent="0.3">
      <c r="A262" s="13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4.25" customHeight="1" x14ac:dyDescent="0.3">
      <c r="A263" s="13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4.25" customHeight="1" x14ac:dyDescent="0.3">
      <c r="A264" s="13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4.25" customHeight="1" x14ac:dyDescent="0.3">
      <c r="A265" s="13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4.25" customHeight="1" x14ac:dyDescent="0.3">
      <c r="A266" s="13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4.25" customHeight="1" x14ac:dyDescent="0.3">
      <c r="A267" s="13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4.25" customHeight="1" x14ac:dyDescent="0.3">
      <c r="A268" s="13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4.25" customHeight="1" x14ac:dyDescent="0.3">
      <c r="A269" s="13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4.25" customHeight="1" x14ac:dyDescent="0.3">
      <c r="A270" s="13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4.25" customHeight="1" x14ac:dyDescent="0.3">
      <c r="A271" s="13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4.25" customHeight="1" x14ac:dyDescent="0.3">
      <c r="A272" s="13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4.25" customHeight="1" x14ac:dyDescent="0.3">
      <c r="A273" s="13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4.25" customHeight="1" x14ac:dyDescent="0.3">
      <c r="A274" s="13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4.25" customHeight="1" x14ac:dyDescent="0.3">
      <c r="A275" s="13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4.25" customHeight="1" x14ac:dyDescent="0.3">
      <c r="A276" s="13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4.25" customHeight="1" x14ac:dyDescent="0.3">
      <c r="A277" s="13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4.25" customHeight="1" x14ac:dyDescent="0.3">
      <c r="A278" s="13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4.25" customHeight="1" x14ac:dyDescent="0.3">
      <c r="A279" s="13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4.25" customHeight="1" x14ac:dyDescent="0.3">
      <c r="A280" s="13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4.25" customHeight="1" x14ac:dyDescent="0.3">
      <c r="A281" s="13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4.25" customHeight="1" x14ac:dyDescent="0.3">
      <c r="A282" s="13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4.25" customHeight="1" x14ac:dyDescent="0.3">
      <c r="A283" s="13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4.25" customHeight="1" x14ac:dyDescent="0.3">
      <c r="A284" s="13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4.25" customHeight="1" x14ac:dyDescent="0.3">
      <c r="A285" s="13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4.25" customHeight="1" x14ac:dyDescent="0.3">
      <c r="A286" s="13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4.25" customHeight="1" x14ac:dyDescent="0.3">
      <c r="A287" s="13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4.25" customHeight="1" x14ac:dyDescent="0.3">
      <c r="A288" s="13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4.25" customHeight="1" x14ac:dyDescent="0.3">
      <c r="A289" s="13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4.25" customHeight="1" x14ac:dyDescent="0.3">
      <c r="A290" s="13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4.25" customHeight="1" x14ac:dyDescent="0.3">
      <c r="A291" s="13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4.25" customHeight="1" x14ac:dyDescent="0.3">
      <c r="A292" s="13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4.25" customHeight="1" x14ac:dyDescent="0.3">
      <c r="A293" s="13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4.25" customHeight="1" x14ac:dyDescent="0.3">
      <c r="A294" s="13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4.25" customHeight="1" x14ac:dyDescent="0.3">
      <c r="A295" s="13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4.25" customHeight="1" x14ac:dyDescent="0.3">
      <c r="A296" s="13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4.25" customHeight="1" x14ac:dyDescent="0.3">
      <c r="A297" s="13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4.25" customHeight="1" x14ac:dyDescent="0.3">
      <c r="A298" s="13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4.25" customHeight="1" x14ac:dyDescent="0.3">
      <c r="A299" s="13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4.25" customHeight="1" x14ac:dyDescent="0.3">
      <c r="A300" s="13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4.25" customHeight="1" x14ac:dyDescent="0.3">
      <c r="A301" s="13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4.25" customHeight="1" x14ac:dyDescent="0.3">
      <c r="A302" s="13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4.25" customHeight="1" x14ac:dyDescent="0.3">
      <c r="A303" s="13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4.25" customHeight="1" x14ac:dyDescent="0.3">
      <c r="A304" s="13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4.25" customHeight="1" x14ac:dyDescent="0.3">
      <c r="A305" s="13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4.25" customHeight="1" x14ac:dyDescent="0.3">
      <c r="A306" s="13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4.25" customHeight="1" x14ac:dyDescent="0.3">
      <c r="A307" s="13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4.25" customHeight="1" x14ac:dyDescent="0.3">
      <c r="A308" s="13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4.25" customHeight="1" x14ac:dyDescent="0.3">
      <c r="A309" s="13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4.25" customHeight="1" x14ac:dyDescent="0.3">
      <c r="A310" s="13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4.25" customHeight="1" x14ac:dyDescent="0.3">
      <c r="A311" s="13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4.25" customHeight="1" x14ac:dyDescent="0.3">
      <c r="A312" s="13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4.25" customHeight="1" x14ac:dyDescent="0.3">
      <c r="A313" s="13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4.25" customHeight="1" x14ac:dyDescent="0.3">
      <c r="A314" s="13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4.25" customHeight="1" x14ac:dyDescent="0.3">
      <c r="A315" s="13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4.25" customHeight="1" x14ac:dyDescent="0.3">
      <c r="A316" s="13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4.25" customHeight="1" x14ac:dyDescent="0.3">
      <c r="A317" s="13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4.25" customHeight="1" x14ac:dyDescent="0.3">
      <c r="A318" s="13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4.25" customHeight="1" x14ac:dyDescent="0.3">
      <c r="A319" s="13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4.25" customHeight="1" x14ac:dyDescent="0.3">
      <c r="A320" s="13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4.25" customHeight="1" x14ac:dyDescent="0.3">
      <c r="A321" s="13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4.25" customHeight="1" x14ac:dyDescent="0.3">
      <c r="A322" s="13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4.25" customHeight="1" x14ac:dyDescent="0.3">
      <c r="A323" s="13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4.25" customHeight="1" x14ac:dyDescent="0.3">
      <c r="A324" s="13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4.25" customHeight="1" x14ac:dyDescent="0.3">
      <c r="A325" s="13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4.25" customHeight="1" x14ac:dyDescent="0.3">
      <c r="A326" s="13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4.25" customHeight="1" x14ac:dyDescent="0.3">
      <c r="A327" s="13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4.25" customHeight="1" x14ac:dyDescent="0.3">
      <c r="A328" s="13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4.25" customHeight="1" x14ac:dyDescent="0.3">
      <c r="A329" s="13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4.25" customHeight="1" x14ac:dyDescent="0.3">
      <c r="A330" s="13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4.25" customHeight="1" x14ac:dyDescent="0.3">
      <c r="A331" s="13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4.25" customHeight="1" x14ac:dyDescent="0.3">
      <c r="A332" s="13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4.25" customHeight="1" x14ac:dyDescent="0.3">
      <c r="A333" s="13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4.25" customHeight="1" x14ac:dyDescent="0.3">
      <c r="A334" s="13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4.25" customHeight="1" x14ac:dyDescent="0.3">
      <c r="A335" s="13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4.25" customHeight="1" x14ac:dyDescent="0.3">
      <c r="A336" s="13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4.25" customHeight="1" x14ac:dyDescent="0.3">
      <c r="A337" s="13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4.25" customHeight="1" x14ac:dyDescent="0.3">
      <c r="A338" s="13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4.25" customHeight="1" x14ac:dyDescent="0.3">
      <c r="A339" s="13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4.25" customHeight="1" x14ac:dyDescent="0.3">
      <c r="A340" s="13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4.25" customHeight="1" x14ac:dyDescent="0.3">
      <c r="A341" s="13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4.25" customHeight="1" x14ac:dyDescent="0.3">
      <c r="A342" s="13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4.25" customHeight="1" x14ac:dyDescent="0.3">
      <c r="A343" s="13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4.25" customHeight="1" x14ac:dyDescent="0.3">
      <c r="A344" s="13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4.25" customHeight="1" x14ac:dyDescent="0.3">
      <c r="A345" s="13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4.25" customHeight="1" x14ac:dyDescent="0.3">
      <c r="A346" s="13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4.25" customHeight="1" x14ac:dyDescent="0.3">
      <c r="A347" s="13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4.25" customHeight="1" x14ac:dyDescent="0.3">
      <c r="A348" s="13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4.25" customHeight="1" x14ac:dyDescent="0.3">
      <c r="A349" s="13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4.25" customHeight="1" x14ac:dyDescent="0.3">
      <c r="A350" s="13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4.25" customHeight="1" x14ac:dyDescent="0.3">
      <c r="A351" s="13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4.25" customHeight="1" x14ac:dyDescent="0.3">
      <c r="A352" s="13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4.25" customHeight="1" x14ac:dyDescent="0.3">
      <c r="A353" s="13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4.25" customHeight="1" x14ac:dyDescent="0.3">
      <c r="A354" s="13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4.25" customHeight="1" x14ac:dyDescent="0.3">
      <c r="A355" s="13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4.25" customHeight="1" x14ac:dyDescent="0.3">
      <c r="A356" s="13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4.25" customHeight="1" x14ac:dyDescent="0.3">
      <c r="A357" s="13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4.25" customHeight="1" x14ac:dyDescent="0.3">
      <c r="A358" s="13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4.25" customHeight="1" x14ac:dyDescent="0.3">
      <c r="A359" s="13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4.25" customHeight="1" x14ac:dyDescent="0.3">
      <c r="A360" s="13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4.25" customHeight="1" x14ac:dyDescent="0.3">
      <c r="A361" s="13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4.25" customHeight="1" x14ac:dyDescent="0.3">
      <c r="A362" s="13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4.25" customHeight="1" x14ac:dyDescent="0.3">
      <c r="A363" s="13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4.25" customHeight="1" x14ac:dyDescent="0.3">
      <c r="A364" s="13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4.25" customHeight="1" x14ac:dyDescent="0.3">
      <c r="A365" s="13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4.25" customHeight="1" x14ac:dyDescent="0.3">
      <c r="A366" s="13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4.25" customHeight="1" x14ac:dyDescent="0.3">
      <c r="A367" s="13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4.25" customHeight="1" x14ac:dyDescent="0.3">
      <c r="A368" s="13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4.25" customHeight="1" x14ac:dyDescent="0.3">
      <c r="A369" s="13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4.25" customHeight="1" x14ac:dyDescent="0.3">
      <c r="A370" s="13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4.25" customHeight="1" x14ac:dyDescent="0.3">
      <c r="A371" s="13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4.25" customHeight="1" x14ac:dyDescent="0.3">
      <c r="A372" s="13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4.25" customHeight="1" x14ac:dyDescent="0.3">
      <c r="A373" s="13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4.25" customHeight="1" x14ac:dyDescent="0.3">
      <c r="A374" s="13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4.25" customHeight="1" x14ac:dyDescent="0.3">
      <c r="A375" s="13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4.25" customHeight="1" x14ac:dyDescent="0.3">
      <c r="A376" s="13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4.25" customHeight="1" x14ac:dyDescent="0.3">
      <c r="A377" s="13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4.25" customHeight="1" x14ac:dyDescent="0.3">
      <c r="A378" s="13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4.25" customHeight="1" x14ac:dyDescent="0.3">
      <c r="A379" s="13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4.25" customHeight="1" x14ac:dyDescent="0.3">
      <c r="A380" s="13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4.25" customHeight="1" x14ac:dyDescent="0.3">
      <c r="A381" s="13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4.25" customHeight="1" x14ac:dyDescent="0.3">
      <c r="A382" s="13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4.25" customHeight="1" x14ac:dyDescent="0.3">
      <c r="A383" s="13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4.25" customHeight="1" x14ac:dyDescent="0.3">
      <c r="A384" s="13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4.25" customHeight="1" x14ac:dyDescent="0.3">
      <c r="A385" s="13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4.25" customHeight="1" x14ac:dyDescent="0.3">
      <c r="A386" s="13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4.25" customHeight="1" x14ac:dyDescent="0.3">
      <c r="A387" s="13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4.25" customHeight="1" x14ac:dyDescent="0.3">
      <c r="A388" s="13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4.25" customHeight="1" x14ac:dyDescent="0.3">
      <c r="A389" s="13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4.25" customHeight="1" x14ac:dyDescent="0.3">
      <c r="A390" s="13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4.25" customHeight="1" x14ac:dyDescent="0.3">
      <c r="A391" s="13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4.25" customHeight="1" x14ac:dyDescent="0.3">
      <c r="A392" s="13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4.25" customHeight="1" x14ac:dyDescent="0.3">
      <c r="A393" s="13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4.25" customHeight="1" x14ac:dyDescent="0.3">
      <c r="A394" s="13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4.25" customHeight="1" x14ac:dyDescent="0.3">
      <c r="A395" s="13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4.25" customHeight="1" x14ac:dyDescent="0.3">
      <c r="A396" s="13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4.25" customHeight="1" x14ac:dyDescent="0.3">
      <c r="A397" s="13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4.25" customHeight="1" x14ac:dyDescent="0.3">
      <c r="A398" s="13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4.25" customHeight="1" x14ac:dyDescent="0.3">
      <c r="A399" s="13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4.25" customHeight="1" x14ac:dyDescent="0.3">
      <c r="A400" s="13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4.25" customHeight="1" x14ac:dyDescent="0.3">
      <c r="A401" s="13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4.25" customHeight="1" x14ac:dyDescent="0.3">
      <c r="A402" s="13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4.25" customHeight="1" x14ac:dyDescent="0.3">
      <c r="A403" s="13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4.25" customHeight="1" x14ac:dyDescent="0.3">
      <c r="A404" s="13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4.25" customHeight="1" x14ac:dyDescent="0.3">
      <c r="A405" s="13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4.25" customHeight="1" x14ac:dyDescent="0.3">
      <c r="A406" s="13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4.25" customHeight="1" x14ac:dyDescent="0.3">
      <c r="A407" s="13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4.25" customHeight="1" x14ac:dyDescent="0.3">
      <c r="A408" s="13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4.25" customHeight="1" x14ac:dyDescent="0.3">
      <c r="A409" s="13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4.25" customHeight="1" x14ac:dyDescent="0.3">
      <c r="A410" s="13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4.25" customHeight="1" x14ac:dyDescent="0.3">
      <c r="A411" s="13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4.25" customHeight="1" x14ac:dyDescent="0.3">
      <c r="A412" s="13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4.25" customHeight="1" x14ac:dyDescent="0.3">
      <c r="A413" s="13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4.25" customHeight="1" x14ac:dyDescent="0.3">
      <c r="A414" s="13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4.25" customHeight="1" x14ac:dyDescent="0.3">
      <c r="A415" s="13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4.25" customHeight="1" x14ac:dyDescent="0.3">
      <c r="A416" s="13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4.25" customHeight="1" x14ac:dyDescent="0.3">
      <c r="A417" s="13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4.25" customHeight="1" x14ac:dyDescent="0.3">
      <c r="A418" s="13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4.25" customHeight="1" x14ac:dyDescent="0.3">
      <c r="A419" s="13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4.25" customHeight="1" x14ac:dyDescent="0.3">
      <c r="A420" s="13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4.25" customHeight="1" x14ac:dyDescent="0.3">
      <c r="A421" s="13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4.25" customHeight="1" x14ac:dyDescent="0.3">
      <c r="A422" s="13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4.25" customHeight="1" x14ac:dyDescent="0.3">
      <c r="A423" s="13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4.25" customHeight="1" x14ac:dyDescent="0.3">
      <c r="A424" s="13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4.25" customHeight="1" x14ac:dyDescent="0.3">
      <c r="A425" s="13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4.25" customHeight="1" x14ac:dyDescent="0.3">
      <c r="A426" s="13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4.25" customHeight="1" x14ac:dyDescent="0.3">
      <c r="A427" s="13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4.25" customHeight="1" x14ac:dyDescent="0.3">
      <c r="A428" s="13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4.25" customHeight="1" x14ac:dyDescent="0.3">
      <c r="A429" s="13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4.25" customHeight="1" x14ac:dyDescent="0.3">
      <c r="A430" s="13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4.25" customHeight="1" x14ac:dyDescent="0.3">
      <c r="A431" s="13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4.25" customHeight="1" x14ac:dyDescent="0.3">
      <c r="A432" s="13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4.25" customHeight="1" x14ac:dyDescent="0.3">
      <c r="A433" s="13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4.25" customHeight="1" x14ac:dyDescent="0.3">
      <c r="A434" s="13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4.25" customHeight="1" x14ac:dyDescent="0.3">
      <c r="A435" s="13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4.25" customHeight="1" x14ac:dyDescent="0.3">
      <c r="A436" s="13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4.25" customHeight="1" x14ac:dyDescent="0.3">
      <c r="A437" s="13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4.25" customHeight="1" x14ac:dyDescent="0.3">
      <c r="A438" s="13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4.25" customHeight="1" x14ac:dyDescent="0.3">
      <c r="A439" s="13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4.25" customHeight="1" x14ac:dyDescent="0.3">
      <c r="A440" s="13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4.25" customHeight="1" x14ac:dyDescent="0.3">
      <c r="A441" s="13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4.25" customHeight="1" x14ac:dyDescent="0.3">
      <c r="A442" s="13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4.25" customHeight="1" x14ac:dyDescent="0.3">
      <c r="A443" s="13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4.25" customHeight="1" x14ac:dyDescent="0.3">
      <c r="A444" s="13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4.25" customHeight="1" x14ac:dyDescent="0.3">
      <c r="A445" s="13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4.25" customHeight="1" x14ac:dyDescent="0.3">
      <c r="A446" s="13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4.25" customHeight="1" x14ac:dyDescent="0.3">
      <c r="A447" s="13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4.25" customHeight="1" x14ac:dyDescent="0.3">
      <c r="A448" s="13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4.25" customHeight="1" x14ac:dyDescent="0.3">
      <c r="A449" s="13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4.25" customHeight="1" x14ac:dyDescent="0.3">
      <c r="A450" s="13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4.25" customHeight="1" x14ac:dyDescent="0.3">
      <c r="A451" s="13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4.25" customHeight="1" x14ac:dyDescent="0.3">
      <c r="A452" s="13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4.25" customHeight="1" x14ac:dyDescent="0.3">
      <c r="A453" s="13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4.25" customHeight="1" x14ac:dyDescent="0.3">
      <c r="A454" s="13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4.25" customHeight="1" x14ac:dyDescent="0.3">
      <c r="A455" s="13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4.25" customHeight="1" x14ac:dyDescent="0.3">
      <c r="A456" s="13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4.25" customHeight="1" x14ac:dyDescent="0.3">
      <c r="A457" s="13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4.25" customHeight="1" x14ac:dyDescent="0.3">
      <c r="A458" s="13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4.25" customHeight="1" x14ac:dyDescent="0.3">
      <c r="A459" s="13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4.25" customHeight="1" x14ac:dyDescent="0.3">
      <c r="A460" s="13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4.25" customHeight="1" x14ac:dyDescent="0.3">
      <c r="A461" s="13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4.25" customHeight="1" x14ac:dyDescent="0.3">
      <c r="A462" s="13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4.25" customHeight="1" x14ac:dyDescent="0.3">
      <c r="A463" s="13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4.25" customHeight="1" x14ac:dyDescent="0.3">
      <c r="A464" s="13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4.25" customHeight="1" x14ac:dyDescent="0.3">
      <c r="A465" s="13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4.25" customHeight="1" x14ac:dyDescent="0.3">
      <c r="A466" s="13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4.25" customHeight="1" x14ac:dyDescent="0.3">
      <c r="A467" s="13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4.25" customHeight="1" x14ac:dyDescent="0.3">
      <c r="A468" s="13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4.25" customHeight="1" x14ac:dyDescent="0.3">
      <c r="A469" s="13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4.25" customHeight="1" x14ac:dyDescent="0.3">
      <c r="A470" s="13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4.25" customHeight="1" x14ac:dyDescent="0.3">
      <c r="A471" s="13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4.25" customHeight="1" x14ac:dyDescent="0.3">
      <c r="A472" s="13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4.25" customHeight="1" x14ac:dyDescent="0.3">
      <c r="A473" s="13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4.25" customHeight="1" x14ac:dyDescent="0.3">
      <c r="A474" s="13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4.25" customHeight="1" x14ac:dyDescent="0.3">
      <c r="A475" s="13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4.25" customHeight="1" x14ac:dyDescent="0.3">
      <c r="A476" s="13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4.25" customHeight="1" x14ac:dyDescent="0.3">
      <c r="A477" s="13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4.25" customHeight="1" x14ac:dyDescent="0.3">
      <c r="A478" s="13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4.25" customHeight="1" x14ac:dyDescent="0.3">
      <c r="A479" s="13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4.25" customHeight="1" x14ac:dyDescent="0.3">
      <c r="A480" s="13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4.25" customHeight="1" x14ac:dyDescent="0.3">
      <c r="A481" s="13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4.25" customHeight="1" x14ac:dyDescent="0.3">
      <c r="A482" s="13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4.25" customHeight="1" x14ac:dyDescent="0.3">
      <c r="A483" s="13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4.25" customHeight="1" x14ac:dyDescent="0.3">
      <c r="A484" s="13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4.25" customHeight="1" x14ac:dyDescent="0.3">
      <c r="A485" s="13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4.25" customHeight="1" x14ac:dyDescent="0.3">
      <c r="A486" s="13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4.25" customHeight="1" x14ac:dyDescent="0.3">
      <c r="A487" s="13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4.25" customHeight="1" x14ac:dyDescent="0.3">
      <c r="A488" s="13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4.25" customHeight="1" x14ac:dyDescent="0.3">
      <c r="A489" s="13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4.25" customHeight="1" x14ac:dyDescent="0.3">
      <c r="A490" s="13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4.25" customHeight="1" x14ac:dyDescent="0.3">
      <c r="A491" s="13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4.25" customHeight="1" x14ac:dyDescent="0.3">
      <c r="A492" s="13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4.25" customHeight="1" x14ac:dyDescent="0.3">
      <c r="A493" s="13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4.25" customHeight="1" x14ac:dyDescent="0.3">
      <c r="A494" s="13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4.25" customHeight="1" x14ac:dyDescent="0.3">
      <c r="A495" s="13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4.25" customHeight="1" x14ac:dyDescent="0.3">
      <c r="A496" s="13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4.25" customHeight="1" x14ac:dyDescent="0.3">
      <c r="A497" s="13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4.25" customHeight="1" x14ac:dyDescent="0.3">
      <c r="A498" s="13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4.25" customHeight="1" x14ac:dyDescent="0.3">
      <c r="A499" s="13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4.25" customHeight="1" x14ac:dyDescent="0.3">
      <c r="A500" s="13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4.25" customHeight="1" x14ac:dyDescent="0.3">
      <c r="A501" s="13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4.25" customHeight="1" x14ac:dyDescent="0.3">
      <c r="A502" s="13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4.25" customHeight="1" x14ac:dyDescent="0.3">
      <c r="A503" s="13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4.25" customHeight="1" x14ac:dyDescent="0.3">
      <c r="A504" s="13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4.25" customHeight="1" x14ac:dyDescent="0.3">
      <c r="A505" s="13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4.25" customHeight="1" x14ac:dyDescent="0.3">
      <c r="A506" s="13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4.25" customHeight="1" x14ac:dyDescent="0.3">
      <c r="A507" s="13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4.25" customHeight="1" x14ac:dyDescent="0.3">
      <c r="A508" s="13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4.25" customHeight="1" x14ac:dyDescent="0.3">
      <c r="A509" s="13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4.25" customHeight="1" x14ac:dyDescent="0.3">
      <c r="A510" s="13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4.25" customHeight="1" x14ac:dyDescent="0.3">
      <c r="A511" s="13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4.25" customHeight="1" x14ac:dyDescent="0.3">
      <c r="A512" s="13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4.25" customHeight="1" x14ac:dyDescent="0.3">
      <c r="A513" s="13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4.25" customHeight="1" x14ac:dyDescent="0.3">
      <c r="A514" s="13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4.25" customHeight="1" x14ac:dyDescent="0.3">
      <c r="A515" s="13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4.25" customHeight="1" x14ac:dyDescent="0.3">
      <c r="A516" s="13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4.25" customHeight="1" x14ac:dyDescent="0.3">
      <c r="A517" s="13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4.25" customHeight="1" x14ac:dyDescent="0.3">
      <c r="A518" s="13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4.25" customHeight="1" x14ac:dyDescent="0.3">
      <c r="A519" s="13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4.25" customHeight="1" x14ac:dyDescent="0.3">
      <c r="A520" s="13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4.25" customHeight="1" x14ac:dyDescent="0.3">
      <c r="A521" s="13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4.25" customHeight="1" x14ac:dyDescent="0.3">
      <c r="A522" s="13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4.25" customHeight="1" x14ac:dyDescent="0.3">
      <c r="A523" s="13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4.25" customHeight="1" x14ac:dyDescent="0.3">
      <c r="A524" s="13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4.25" customHeight="1" x14ac:dyDescent="0.3">
      <c r="A525" s="13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4.25" customHeight="1" x14ac:dyDescent="0.3">
      <c r="A526" s="13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4.25" customHeight="1" x14ac:dyDescent="0.3">
      <c r="A527" s="13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4.25" customHeight="1" x14ac:dyDescent="0.3">
      <c r="A528" s="13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4.25" customHeight="1" x14ac:dyDescent="0.3">
      <c r="A529" s="13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4.25" customHeight="1" x14ac:dyDescent="0.3">
      <c r="A530" s="13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4.25" customHeight="1" x14ac:dyDescent="0.3">
      <c r="A531" s="13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4.25" customHeight="1" x14ac:dyDescent="0.3">
      <c r="A532" s="13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4.25" customHeight="1" x14ac:dyDescent="0.3">
      <c r="A533" s="13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4.25" customHeight="1" x14ac:dyDescent="0.3">
      <c r="A534" s="13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4.25" customHeight="1" x14ac:dyDescent="0.3">
      <c r="A535" s="13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4.25" customHeight="1" x14ac:dyDescent="0.3">
      <c r="A536" s="13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4.25" customHeight="1" x14ac:dyDescent="0.3">
      <c r="A537" s="13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4.25" customHeight="1" x14ac:dyDescent="0.3">
      <c r="A538" s="13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4.25" customHeight="1" x14ac:dyDescent="0.3">
      <c r="A539" s="13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4.25" customHeight="1" x14ac:dyDescent="0.3">
      <c r="A540" s="13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4.25" customHeight="1" x14ac:dyDescent="0.3">
      <c r="A541" s="13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4.25" customHeight="1" x14ac:dyDescent="0.3">
      <c r="A542" s="13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4.25" customHeight="1" x14ac:dyDescent="0.3">
      <c r="A543" s="13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4.25" customHeight="1" x14ac:dyDescent="0.3">
      <c r="A544" s="13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4.25" customHeight="1" x14ac:dyDescent="0.3">
      <c r="A545" s="13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4.25" customHeight="1" x14ac:dyDescent="0.3">
      <c r="A546" s="13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4.25" customHeight="1" x14ac:dyDescent="0.3">
      <c r="A547" s="13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4.25" customHeight="1" x14ac:dyDescent="0.3">
      <c r="A548" s="13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4.25" customHeight="1" x14ac:dyDescent="0.3">
      <c r="A549" s="13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4.25" customHeight="1" x14ac:dyDescent="0.3">
      <c r="A550" s="13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4.25" customHeight="1" x14ac:dyDescent="0.3">
      <c r="A551" s="13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4.25" customHeight="1" x14ac:dyDescent="0.3">
      <c r="A552" s="13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4.25" customHeight="1" x14ac:dyDescent="0.3">
      <c r="A553" s="13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4.25" customHeight="1" x14ac:dyDescent="0.3">
      <c r="A554" s="13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4.25" customHeight="1" x14ac:dyDescent="0.3">
      <c r="A555" s="13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4.25" customHeight="1" x14ac:dyDescent="0.3">
      <c r="A556" s="13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4.25" customHeight="1" x14ac:dyDescent="0.3">
      <c r="A557" s="13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4.25" customHeight="1" x14ac:dyDescent="0.3">
      <c r="A558" s="13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4.25" customHeight="1" x14ac:dyDescent="0.3">
      <c r="A559" s="13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4.25" customHeight="1" x14ac:dyDescent="0.3">
      <c r="A560" s="13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4.25" customHeight="1" x14ac:dyDescent="0.3">
      <c r="A561" s="13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4.25" customHeight="1" x14ac:dyDescent="0.3">
      <c r="A562" s="13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4.25" customHeight="1" x14ac:dyDescent="0.3">
      <c r="A563" s="13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4.25" customHeight="1" x14ac:dyDescent="0.3">
      <c r="A564" s="13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4.25" customHeight="1" x14ac:dyDescent="0.3">
      <c r="A565" s="13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4.25" customHeight="1" x14ac:dyDescent="0.3">
      <c r="A566" s="13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4.25" customHeight="1" x14ac:dyDescent="0.3">
      <c r="A567" s="13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4.25" customHeight="1" x14ac:dyDescent="0.3">
      <c r="A568" s="13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4.25" customHeight="1" x14ac:dyDescent="0.3">
      <c r="A569" s="13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4.25" customHeight="1" x14ac:dyDescent="0.3">
      <c r="A570" s="13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4.25" customHeight="1" x14ac:dyDescent="0.3">
      <c r="A571" s="13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4.25" customHeight="1" x14ac:dyDescent="0.3">
      <c r="A572" s="13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4.25" customHeight="1" x14ac:dyDescent="0.3">
      <c r="A573" s="13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4.25" customHeight="1" x14ac:dyDescent="0.3">
      <c r="A574" s="13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4.25" customHeight="1" x14ac:dyDescent="0.3">
      <c r="A575" s="13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4.25" customHeight="1" x14ac:dyDescent="0.3">
      <c r="A576" s="13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4.25" customHeight="1" x14ac:dyDescent="0.3">
      <c r="A577" s="13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4.25" customHeight="1" x14ac:dyDescent="0.3">
      <c r="A578" s="13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4.25" customHeight="1" x14ac:dyDescent="0.3">
      <c r="A579" s="13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4.25" customHeight="1" x14ac:dyDescent="0.3">
      <c r="A580" s="13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4.25" customHeight="1" x14ac:dyDescent="0.3">
      <c r="A581" s="13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4.25" customHeight="1" x14ac:dyDescent="0.3">
      <c r="A582" s="13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4.25" customHeight="1" x14ac:dyDescent="0.3">
      <c r="A583" s="13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4.25" customHeight="1" x14ac:dyDescent="0.3">
      <c r="A584" s="13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4.25" customHeight="1" x14ac:dyDescent="0.3">
      <c r="A585" s="13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4.25" customHeight="1" x14ac:dyDescent="0.3">
      <c r="A586" s="13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4.25" customHeight="1" x14ac:dyDescent="0.3">
      <c r="A587" s="13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4.25" customHeight="1" x14ac:dyDescent="0.3">
      <c r="A588" s="13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4.25" customHeight="1" x14ac:dyDescent="0.3">
      <c r="A589" s="13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4.25" customHeight="1" x14ac:dyDescent="0.3">
      <c r="A590" s="13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4.25" customHeight="1" x14ac:dyDescent="0.3">
      <c r="A591" s="13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4.25" customHeight="1" x14ac:dyDescent="0.3">
      <c r="A592" s="13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4.25" customHeight="1" x14ac:dyDescent="0.3">
      <c r="A593" s="13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4.25" customHeight="1" x14ac:dyDescent="0.3">
      <c r="A594" s="13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4.25" customHeight="1" x14ac:dyDescent="0.3">
      <c r="A595" s="13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4.25" customHeight="1" x14ac:dyDescent="0.3">
      <c r="A596" s="13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4.25" customHeight="1" x14ac:dyDescent="0.3">
      <c r="A597" s="13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4.25" customHeight="1" x14ac:dyDescent="0.3">
      <c r="A598" s="13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4.25" customHeight="1" x14ac:dyDescent="0.3">
      <c r="A599" s="13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4.25" customHeight="1" x14ac:dyDescent="0.3">
      <c r="A600" s="13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4.25" customHeight="1" x14ac:dyDescent="0.3">
      <c r="A601" s="13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4.25" customHeight="1" x14ac:dyDescent="0.3">
      <c r="A602" s="13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4.25" customHeight="1" x14ac:dyDescent="0.3">
      <c r="A603" s="13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4.25" customHeight="1" x14ac:dyDescent="0.3">
      <c r="A604" s="13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4.25" customHeight="1" x14ac:dyDescent="0.3">
      <c r="A605" s="13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4.25" customHeight="1" x14ac:dyDescent="0.3">
      <c r="A606" s="13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4.25" customHeight="1" x14ac:dyDescent="0.3">
      <c r="A607" s="13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4.25" customHeight="1" x14ac:dyDescent="0.3">
      <c r="A608" s="13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4.25" customHeight="1" x14ac:dyDescent="0.3">
      <c r="A609" s="13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4.25" customHeight="1" x14ac:dyDescent="0.3">
      <c r="A610" s="13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4.25" customHeight="1" x14ac:dyDescent="0.3">
      <c r="A611" s="13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4.25" customHeight="1" x14ac:dyDescent="0.3">
      <c r="A612" s="13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4.25" customHeight="1" x14ac:dyDescent="0.3">
      <c r="A613" s="13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4.25" customHeight="1" x14ac:dyDescent="0.3">
      <c r="A614" s="13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4.25" customHeight="1" x14ac:dyDescent="0.3">
      <c r="A615" s="13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4.25" customHeight="1" x14ac:dyDescent="0.3">
      <c r="A616" s="13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4.25" customHeight="1" x14ac:dyDescent="0.3">
      <c r="A617" s="13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4.25" customHeight="1" x14ac:dyDescent="0.3">
      <c r="A618" s="13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4.25" customHeight="1" x14ac:dyDescent="0.3">
      <c r="A619" s="13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4.25" customHeight="1" x14ac:dyDescent="0.3">
      <c r="A620" s="13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4.25" customHeight="1" x14ac:dyDescent="0.3">
      <c r="A621" s="13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4.25" customHeight="1" x14ac:dyDescent="0.3">
      <c r="A622" s="13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4.25" customHeight="1" x14ac:dyDescent="0.3">
      <c r="A623" s="13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4.25" customHeight="1" x14ac:dyDescent="0.3">
      <c r="A624" s="13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4.25" customHeight="1" x14ac:dyDescent="0.3">
      <c r="A625" s="13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4.25" customHeight="1" x14ac:dyDescent="0.3">
      <c r="A626" s="13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4.25" customHeight="1" x14ac:dyDescent="0.3">
      <c r="A627" s="13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4.25" customHeight="1" x14ac:dyDescent="0.3">
      <c r="A628" s="13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4.25" customHeight="1" x14ac:dyDescent="0.3">
      <c r="A629" s="13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4.25" customHeight="1" x14ac:dyDescent="0.3">
      <c r="A630" s="13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4.25" customHeight="1" x14ac:dyDescent="0.3">
      <c r="A631" s="13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4.25" customHeight="1" x14ac:dyDescent="0.3">
      <c r="A632" s="13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4.25" customHeight="1" x14ac:dyDescent="0.3">
      <c r="A633" s="13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4.25" customHeight="1" x14ac:dyDescent="0.3">
      <c r="A634" s="13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4.25" customHeight="1" x14ac:dyDescent="0.3">
      <c r="A635" s="13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4.25" customHeight="1" x14ac:dyDescent="0.3">
      <c r="A636" s="13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4.25" customHeight="1" x14ac:dyDescent="0.3">
      <c r="A637" s="13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4.25" customHeight="1" x14ac:dyDescent="0.3">
      <c r="A638" s="13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4.25" customHeight="1" x14ac:dyDescent="0.3">
      <c r="A639" s="13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4.25" customHeight="1" x14ac:dyDescent="0.3">
      <c r="A640" s="13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4.25" customHeight="1" x14ac:dyDescent="0.3">
      <c r="A641" s="13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4.25" customHeight="1" x14ac:dyDescent="0.3">
      <c r="A642" s="13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4.25" customHeight="1" x14ac:dyDescent="0.3">
      <c r="A643" s="13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4.25" customHeight="1" x14ac:dyDescent="0.3">
      <c r="A644" s="13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4.25" customHeight="1" x14ac:dyDescent="0.3">
      <c r="A645" s="13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4.25" customHeight="1" x14ac:dyDescent="0.3">
      <c r="A646" s="13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4.25" customHeight="1" x14ac:dyDescent="0.3">
      <c r="A647" s="13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4.25" customHeight="1" x14ac:dyDescent="0.3">
      <c r="A648" s="13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4.25" customHeight="1" x14ac:dyDescent="0.3">
      <c r="A649" s="13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4.25" customHeight="1" x14ac:dyDescent="0.3">
      <c r="A650" s="13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4.25" customHeight="1" x14ac:dyDescent="0.3">
      <c r="A651" s="13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4.25" customHeight="1" x14ac:dyDescent="0.3">
      <c r="A652" s="13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4.25" customHeight="1" x14ac:dyDescent="0.3">
      <c r="A653" s="13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4.25" customHeight="1" x14ac:dyDescent="0.3">
      <c r="A654" s="13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4.25" customHeight="1" x14ac:dyDescent="0.3">
      <c r="A655" s="13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4.25" customHeight="1" x14ac:dyDescent="0.3">
      <c r="A656" s="13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4.25" customHeight="1" x14ac:dyDescent="0.3">
      <c r="A657" s="13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4.25" customHeight="1" x14ac:dyDescent="0.3">
      <c r="A658" s="13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4.25" customHeight="1" x14ac:dyDescent="0.3">
      <c r="A659" s="13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4.25" customHeight="1" x14ac:dyDescent="0.3">
      <c r="A660" s="13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4.25" customHeight="1" x14ac:dyDescent="0.3">
      <c r="A661" s="13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4.25" customHeight="1" x14ac:dyDescent="0.3">
      <c r="A662" s="13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4.25" customHeight="1" x14ac:dyDescent="0.3">
      <c r="A663" s="13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4.25" customHeight="1" x14ac:dyDescent="0.3">
      <c r="A664" s="13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4.25" customHeight="1" x14ac:dyDescent="0.3">
      <c r="A665" s="13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4.25" customHeight="1" x14ac:dyDescent="0.3">
      <c r="A666" s="13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4.25" customHeight="1" x14ac:dyDescent="0.3">
      <c r="A667" s="13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4.25" customHeight="1" x14ac:dyDescent="0.3">
      <c r="A668" s="13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4.25" customHeight="1" x14ac:dyDescent="0.3">
      <c r="A669" s="13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4.25" customHeight="1" x14ac:dyDescent="0.3">
      <c r="A670" s="13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4.25" customHeight="1" x14ac:dyDescent="0.3">
      <c r="A671" s="13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4.25" customHeight="1" x14ac:dyDescent="0.3">
      <c r="A672" s="13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4.25" customHeight="1" x14ac:dyDescent="0.3">
      <c r="A673" s="13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4.25" customHeight="1" x14ac:dyDescent="0.3">
      <c r="A674" s="13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4.25" customHeight="1" x14ac:dyDescent="0.3">
      <c r="A675" s="13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4.25" customHeight="1" x14ac:dyDescent="0.3">
      <c r="A676" s="13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4.25" customHeight="1" x14ac:dyDescent="0.3">
      <c r="A677" s="13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4.25" customHeight="1" x14ac:dyDescent="0.3">
      <c r="A678" s="13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4.25" customHeight="1" x14ac:dyDescent="0.3">
      <c r="A679" s="13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4.25" customHeight="1" x14ac:dyDescent="0.3">
      <c r="A680" s="13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4.25" customHeight="1" x14ac:dyDescent="0.3">
      <c r="A681" s="13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4.25" customHeight="1" x14ac:dyDescent="0.3">
      <c r="A682" s="13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4.25" customHeight="1" x14ac:dyDescent="0.3">
      <c r="A683" s="13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4.25" customHeight="1" x14ac:dyDescent="0.3">
      <c r="A684" s="13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4.25" customHeight="1" x14ac:dyDescent="0.3">
      <c r="A685" s="13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4.25" customHeight="1" x14ac:dyDescent="0.3">
      <c r="A686" s="13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4.25" customHeight="1" x14ac:dyDescent="0.3">
      <c r="A687" s="13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4.25" customHeight="1" x14ac:dyDescent="0.3">
      <c r="A688" s="13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4.25" customHeight="1" x14ac:dyDescent="0.3">
      <c r="A689" s="13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4.25" customHeight="1" x14ac:dyDescent="0.3">
      <c r="A690" s="13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4.25" customHeight="1" x14ac:dyDescent="0.3">
      <c r="A691" s="13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4.25" customHeight="1" x14ac:dyDescent="0.3">
      <c r="A692" s="13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4.25" customHeight="1" x14ac:dyDescent="0.3">
      <c r="A693" s="13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4.25" customHeight="1" x14ac:dyDescent="0.3">
      <c r="A694" s="13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4.25" customHeight="1" x14ac:dyDescent="0.3">
      <c r="A695" s="13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4.25" customHeight="1" x14ac:dyDescent="0.3">
      <c r="A696" s="13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4.25" customHeight="1" x14ac:dyDescent="0.3">
      <c r="A697" s="13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4.25" customHeight="1" x14ac:dyDescent="0.3">
      <c r="A698" s="13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4.25" customHeight="1" x14ac:dyDescent="0.3">
      <c r="A699" s="13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4.25" customHeight="1" x14ac:dyDescent="0.3">
      <c r="A700" s="13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4.25" customHeight="1" x14ac:dyDescent="0.3">
      <c r="A701" s="13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4.25" customHeight="1" x14ac:dyDescent="0.3">
      <c r="A702" s="13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4.25" customHeight="1" x14ac:dyDescent="0.3">
      <c r="A703" s="13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4.25" customHeight="1" x14ac:dyDescent="0.3">
      <c r="A704" s="13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4.25" customHeight="1" x14ac:dyDescent="0.3">
      <c r="A705" s="13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4.25" customHeight="1" x14ac:dyDescent="0.3">
      <c r="A706" s="13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4.25" customHeight="1" x14ac:dyDescent="0.3">
      <c r="A707" s="13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4.25" customHeight="1" x14ac:dyDescent="0.3">
      <c r="A708" s="13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4.25" customHeight="1" x14ac:dyDescent="0.3">
      <c r="A709" s="13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4.25" customHeight="1" x14ac:dyDescent="0.3">
      <c r="A710" s="13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4.25" customHeight="1" x14ac:dyDescent="0.3">
      <c r="A711" s="13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4.25" customHeight="1" x14ac:dyDescent="0.3">
      <c r="A712" s="13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4.25" customHeight="1" x14ac:dyDescent="0.3">
      <c r="A713" s="13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4.25" customHeight="1" x14ac:dyDescent="0.3">
      <c r="A714" s="13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4.25" customHeight="1" x14ac:dyDescent="0.3">
      <c r="A715" s="13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4.25" customHeight="1" x14ac:dyDescent="0.3">
      <c r="A716" s="13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4.25" customHeight="1" x14ac:dyDescent="0.3">
      <c r="A717" s="13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4.25" customHeight="1" x14ac:dyDescent="0.3">
      <c r="A718" s="13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4.25" customHeight="1" x14ac:dyDescent="0.3">
      <c r="A719" s="13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4.25" customHeight="1" x14ac:dyDescent="0.3">
      <c r="A720" s="13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4.25" customHeight="1" x14ac:dyDescent="0.3">
      <c r="A721" s="13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4.25" customHeight="1" x14ac:dyDescent="0.3">
      <c r="A722" s="13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4.25" customHeight="1" x14ac:dyDescent="0.3">
      <c r="A723" s="13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4.25" customHeight="1" x14ac:dyDescent="0.3">
      <c r="A724" s="13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4.25" customHeight="1" x14ac:dyDescent="0.3">
      <c r="A725" s="13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4.25" customHeight="1" x14ac:dyDescent="0.3">
      <c r="A726" s="13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4.25" customHeight="1" x14ac:dyDescent="0.3">
      <c r="A727" s="13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4.25" customHeight="1" x14ac:dyDescent="0.3">
      <c r="A728" s="13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4.25" customHeight="1" x14ac:dyDescent="0.3">
      <c r="A729" s="13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4.25" customHeight="1" x14ac:dyDescent="0.3">
      <c r="A730" s="13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4.25" customHeight="1" x14ac:dyDescent="0.3">
      <c r="A731" s="13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4.25" customHeight="1" x14ac:dyDescent="0.3">
      <c r="A732" s="13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4.25" customHeight="1" x14ac:dyDescent="0.3">
      <c r="A733" s="13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4.25" customHeight="1" x14ac:dyDescent="0.3">
      <c r="A734" s="13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4.25" customHeight="1" x14ac:dyDescent="0.3">
      <c r="A735" s="13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4.25" customHeight="1" x14ac:dyDescent="0.3">
      <c r="A736" s="13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4.25" customHeight="1" x14ac:dyDescent="0.3">
      <c r="A737" s="13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4.25" customHeight="1" x14ac:dyDescent="0.3">
      <c r="A738" s="13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4.25" customHeight="1" x14ac:dyDescent="0.3">
      <c r="A739" s="13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4.25" customHeight="1" x14ac:dyDescent="0.3">
      <c r="A740" s="13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4.25" customHeight="1" x14ac:dyDescent="0.3">
      <c r="A741" s="13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4.25" customHeight="1" x14ac:dyDescent="0.3">
      <c r="A742" s="13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4.25" customHeight="1" x14ac:dyDescent="0.3">
      <c r="A743" s="13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4.25" customHeight="1" x14ac:dyDescent="0.3">
      <c r="A744" s="13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4.25" customHeight="1" x14ac:dyDescent="0.3">
      <c r="A745" s="13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4.25" customHeight="1" x14ac:dyDescent="0.3">
      <c r="A746" s="13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4.25" customHeight="1" x14ac:dyDescent="0.3">
      <c r="A747" s="13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4.25" customHeight="1" x14ac:dyDescent="0.3">
      <c r="A748" s="13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4.25" customHeight="1" x14ac:dyDescent="0.3">
      <c r="A749" s="13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4.25" customHeight="1" x14ac:dyDescent="0.3">
      <c r="A750" s="13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4.25" customHeight="1" x14ac:dyDescent="0.3">
      <c r="A751" s="13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4.25" customHeight="1" x14ac:dyDescent="0.3">
      <c r="A752" s="13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4.25" customHeight="1" x14ac:dyDescent="0.3">
      <c r="A753" s="13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4.25" customHeight="1" x14ac:dyDescent="0.3">
      <c r="A754" s="13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4.25" customHeight="1" x14ac:dyDescent="0.3">
      <c r="A755" s="13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4.25" customHeight="1" x14ac:dyDescent="0.3">
      <c r="A756" s="13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4.25" customHeight="1" x14ac:dyDescent="0.3">
      <c r="A757" s="13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4.25" customHeight="1" x14ac:dyDescent="0.3">
      <c r="A758" s="13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4.25" customHeight="1" x14ac:dyDescent="0.3">
      <c r="A759" s="13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4.25" customHeight="1" x14ac:dyDescent="0.3">
      <c r="A760" s="13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4.25" customHeight="1" x14ac:dyDescent="0.3">
      <c r="A761" s="13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4.25" customHeight="1" x14ac:dyDescent="0.3">
      <c r="A762" s="13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4.25" customHeight="1" x14ac:dyDescent="0.3">
      <c r="A763" s="13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4.25" customHeight="1" x14ac:dyDescent="0.3">
      <c r="A764" s="13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4.25" customHeight="1" x14ac:dyDescent="0.3">
      <c r="A765" s="13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4.25" customHeight="1" x14ac:dyDescent="0.3">
      <c r="A766" s="13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4.25" customHeight="1" x14ac:dyDescent="0.3">
      <c r="A767" s="13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4.25" customHeight="1" x14ac:dyDescent="0.3">
      <c r="A768" s="13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4.25" customHeight="1" x14ac:dyDescent="0.3">
      <c r="A769" s="13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4.25" customHeight="1" x14ac:dyDescent="0.3">
      <c r="A770" s="13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4.25" customHeight="1" x14ac:dyDescent="0.3">
      <c r="A771" s="13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4.25" customHeight="1" x14ac:dyDescent="0.3">
      <c r="A772" s="13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4.25" customHeight="1" x14ac:dyDescent="0.3">
      <c r="A773" s="13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4.25" customHeight="1" x14ac:dyDescent="0.3">
      <c r="A774" s="13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4.25" customHeight="1" x14ac:dyDescent="0.3">
      <c r="A775" s="13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4.25" customHeight="1" x14ac:dyDescent="0.3">
      <c r="A776" s="13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4.25" customHeight="1" x14ac:dyDescent="0.3">
      <c r="A777" s="13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4.25" customHeight="1" x14ac:dyDescent="0.3">
      <c r="A778" s="13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4.25" customHeight="1" x14ac:dyDescent="0.3">
      <c r="A779" s="13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4.25" customHeight="1" x14ac:dyDescent="0.3">
      <c r="A780" s="13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4.25" customHeight="1" x14ac:dyDescent="0.3">
      <c r="A781" s="13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4.25" customHeight="1" x14ac:dyDescent="0.3">
      <c r="A782" s="13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4.25" customHeight="1" x14ac:dyDescent="0.3">
      <c r="A783" s="13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4.25" customHeight="1" x14ac:dyDescent="0.3">
      <c r="A784" s="13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4.25" customHeight="1" x14ac:dyDescent="0.3">
      <c r="A785" s="13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4.25" customHeight="1" x14ac:dyDescent="0.3">
      <c r="A786" s="13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4.25" customHeight="1" x14ac:dyDescent="0.3">
      <c r="A787" s="13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4.25" customHeight="1" x14ac:dyDescent="0.3">
      <c r="A788" s="13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4.25" customHeight="1" x14ac:dyDescent="0.3">
      <c r="A789" s="13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4.25" customHeight="1" x14ac:dyDescent="0.3">
      <c r="A790" s="13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4.25" customHeight="1" x14ac:dyDescent="0.3">
      <c r="A791" s="13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4.25" customHeight="1" x14ac:dyDescent="0.3">
      <c r="A792" s="13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4.25" customHeight="1" x14ac:dyDescent="0.3">
      <c r="A793" s="13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4.25" customHeight="1" x14ac:dyDescent="0.3">
      <c r="A794" s="13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4.25" customHeight="1" x14ac:dyDescent="0.3">
      <c r="A795" s="13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4.25" customHeight="1" x14ac:dyDescent="0.3">
      <c r="A796" s="13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4.25" customHeight="1" x14ac:dyDescent="0.3">
      <c r="A797" s="13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4.25" customHeight="1" x14ac:dyDescent="0.3">
      <c r="A798" s="13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4.25" customHeight="1" x14ac:dyDescent="0.3">
      <c r="A799" s="13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4.25" customHeight="1" x14ac:dyDescent="0.3">
      <c r="A800" s="13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4.25" customHeight="1" x14ac:dyDescent="0.3">
      <c r="A801" s="13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4.25" customHeight="1" x14ac:dyDescent="0.3">
      <c r="A802" s="13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4.25" customHeight="1" x14ac:dyDescent="0.3">
      <c r="A803" s="13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4.25" customHeight="1" x14ac:dyDescent="0.3">
      <c r="A804" s="13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4.25" customHeight="1" x14ac:dyDescent="0.3">
      <c r="A805" s="13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4.25" customHeight="1" x14ac:dyDescent="0.3">
      <c r="A806" s="13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4.25" customHeight="1" x14ac:dyDescent="0.3">
      <c r="A807" s="13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4.25" customHeight="1" x14ac:dyDescent="0.3">
      <c r="A808" s="13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4.25" customHeight="1" x14ac:dyDescent="0.3">
      <c r="A809" s="13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4.25" customHeight="1" x14ac:dyDescent="0.3">
      <c r="A810" s="13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4.25" customHeight="1" x14ac:dyDescent="0.3">
      <c r="A811" s="13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4.25" customHeight="1" x14ac:dyDescent="0.3">
      <c r="A812" s="13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4.25" customHeight="1" x14ac:dyDescent="0.3">
      <c r="A813" s="13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4.25" customHeight="1" x14ac:dyDescent="0.3">
      <c r="A814" s="13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4.25" customHeight="1" x14ac:dyDescent="0.3">
      <c r="A815" s="13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4.25" customHeight="1" x14ac:dyDescent="0.3">
      <c r="A816" s="13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4.25" customHeight="1" x14ac:dyDescent="0.3">
      <c r="A817" s="13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4.25" customHeight="1" x14ac:dyDescent="0.3">
      <c r="A818" s="13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4.25" customHeight="1" x14ac:dyDescent="0.3">
      <c r="A819" s="13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4.25" customHeight="1" x14ac:dyDescent="0.3">
      <c r="A820" s="13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4.25" customHeight="1" x14ac:dyDescent="0.3">
      <c r="A821" s="13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4.25" customHeight="1" x14ac:dyDescent="0.3">
      <c r="A822" s="13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4.25" customHeight="1" x14ac:dyDescent="0.3">
      <c r="A823" s="13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4.25" customHeight="1" x14ac:dyDescent="0.3">
      <c r="A824" s="13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4.25" customHeight="1" x14ac:dyDescent="0.3">
      <c r="A825" s="13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4.25" customHeight="1" x14ac:dyDescent="0.3">
      <c r="A826" s="13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4.25" customHeight="1" x14ac:dyDescent="0.3">
      <c r="A827" s="13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4.25" customHeight="1" x14ac:dyDescent="0.3">
      <c r="A828" s="13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4.25" customHeight="1" x14ac:dyDescent="0.3">
      <c r="A829" s="13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4.25" customHeight="1" x14ac:dyDescent="0.3">
      <c r="A830" s="13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4.25" customHeight="1" x14ac:dyDescent="0.3">
      <c r="A831" s="13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4.25" customHeight="1" x14ac:dyDescent="0.3">
      <c r="A832" s="13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4.25" customHeight="1" x14ac:dyDescent="0.3">
      <c r="A833" s="13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4.25" customHeight="1" x14ac:dyDescent="0.3">
      <c r="A834" s="13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4.25" customHeight="1" x14ac:dyDescent="0.3">
      <c r="A835" s="13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4.25" customHeight="1" x14ac:dyDescent="0.3">
      <c r="A836" s="13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4.25" customHeight="1" x14ac:dyDescent="0.3">
      <c r="A837" s="13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4.25" customHeight="1" x14ac:dyDescent="0.3">
      <c r="A838" s="13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4.25" customHeight="1" x14ac:dyDescent="0.3">
      <c r="A839" s="13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4.25" customHeight="1" x14ac:dyDescent="0.3">
      <c r="A840" s="13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4.25" customHeight="1" x14ac:dyDescent="0.3">
      <c r="A841" s="13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4.25" customHeight="1" x14ac:dyDescent="0.3">
      <c r="A842" s="13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4.25" customHeight="1" x14ac:dyDescent="0.3">
      <c r="A843" s="13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4.25" customHeight="1" x14ac:dyDescent="0.3">
      <c r="A844" s="13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4.25" customHeight="1" x14ac:dyDescent="0.3">
      <c r="A845" s="13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4.25" customHeight="1" x14ac:dyDescent="0.3">
      <c r="A846" s="13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4.25" customHeight="1" x14ac:dyDescent="0.3">
      <c r="A847" s="13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4.25" customHeight="1" x14ac:dyDescent="0.3">
      <c r="A848" s="13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4.25" customHeight="1" x14ac:dyDescent="0.3">
      <c r="A849" s="13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4.25" customHeight="1" x14ac:dyDescent="0.3">
      <c r="A850" s="13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4.25" customHeight="1" x14ac:dyDescent="0.3">
      <c r="A851" s="13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4.25" customHeight="1" x14ac:dyDescent="0.3">
      <c r="A852" s="13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4.25" customHeight="1" x14ac:dyDescent="0.3">
      <c r="A853" s="13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4.25" customHeight="1" x14ac:dyDescent="0.3">
      <c r="A854" s="13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4.25" customHeight="1" x14ac:dyDescent="0.3">
      <c r="A855" s="13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4.25" customHeight="1" x14ac:dyDescent="0.3">
      <c r="A856" s="13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4.25" customHeight="1" x14ac:dyDescent="0.3">
      <c r="A857" s="13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4.25" customHeight="1" x14ac:dyDescent="0.3">
      <c r="A858" s="13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4.25" customHeight="1" x14ac:dyDescent="0.3">
      <c r="A859" s="13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4.25" customHeight="1" x14ac:dyDescent="0.3">
      <c r="A860" s="13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4.25" customHeight="1" x14ac:dyDescent="0.3">
      <c r="A861" s="13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4.25" customHeight="1" x14ac:dyDescent="0.3">
      <c r="A862" s="13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4.25" customHeight="1" x14ac:dyDescent="0.3">
      <c r="A863" s="13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4.25" customHeight="1" x14ac:dyDescent="0.3">
      <c r="A864" s="13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4.25" customHeight="1" x14ac:dyDescent="0.3">
      <c r="A865" s="13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4.25" customHeight="1" x14ac:dyDescent="0.3">
      <c r="A866" s="13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4.25" customHeight="1" x14ac:dyDescent="0.3">
      <c r="A867" s="13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4.25" customHeight="1" x14ac:dyDescent="0.3">
      <c r="A868" s="13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4.25" customHeight="1" x14ac:dyDescent="0.3">
      <c r="A869" s="13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4.25" customHeight="1" x14ac:dyDescent="0.3">
      <c r="A870" s="13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4.25" customHeight="1" x14ac:dyDescent="0.3">
      <c r="A871" s="13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4.25" customHeight="1" x14ac:dyDescent="0.3">
      <c r="A872" s="13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4.25" customHeight="1" x14ac:dyDescent="0.3">
      <c r="A873" s="13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4.25" customHeight="1" x14ac:dyDescent="0.3">
      <c r="A874" s="13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4.25" customHeight="1" x14ac:dyDescent="0.3">
      <c r="A875" s="13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4.25" customHeight="1" x14ac:dyDescent="0.3">
      <c r="A876" s="13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4.25" customHeight="1" x14ac:dyDescent="0.3">
      <c r="A877" s="13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4.25" customHeight="1" x14ac:dyDescent="0.3">
      <c r="A878" s="13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4.25" customHeight="1" x14ac:dyDescent="0.3">
      <c r="A879" s="13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4.25" customHeight="1" x14ac:dyDescent="0.3">
      <c r="A880" s="13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4.25" customHeight="1" x14ac:dyDescent="0.3">
      <c r="A881" s="13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4.25" customHeight="1" x14ac:dyDescent="0.3">
      <c r="A882" s="13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4.25" customHeight="1" x14ac:dyDescent="0.3">
      <c r="A883" s="13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4.25" customHeight="1" x14ac:dyDescent="0.3">
      <c r="A884" s="13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4.25" customHeight="1" x14ac:dyDescent="0.3">
      <c r="A885" s="13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4.25" customHeight="1" x14ac:dyDescent="0.3">
      <c r="A886" s="13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4.25" customHeight="1" x14ac:dyDescent="0.3">
      <c r="A887" s="13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4.25" customHeight="1" x14ac:dyDescent="0.3">
      <c r="A888" s="13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4.25" customHeight="1" x14ac:dyDescent="0.3">
      <c r="A889" s="13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4.25" customHeight="1" x14ac:dyDescent="0.3">
      <c r="A890" s="13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4.25" customHeight="1" x14ac:dyDescent="0.3">
      <c r="A891" s="13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4.25" customHeight="1" x14ac:dyDescent="0.3">
      <c r="A892" s="13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4.25" customHeight="1" x14ac:dyDescent="0.3">
      <c r="A893" s="13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4.25" customHeight="1" x14ac:dyDescent="0.3">
      <c r="A894" s="13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4.25" customHeight="1" x14ac:dyDescent="0.3">
      <c r="A895" s="13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4.25" customHeight="1" x14ac:dyDescent="0.3">
      <c r="A896" s="13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4.25" customHeight="1" x14ac:dyDescent="0.3">
      <c r="A897" s="13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4.25" customHeight="1" x14ac:dyDescent="0.3">
      <c r="A898" s="13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4.25" customHeight="1" x14ac:dyDescent="0.3">
      <c r="A899" s="13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4.25" customHeight="1" x14ac:dyDescent="0.3">
      <c r="A900" s="13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4.25" customHeight="1" x14ac:dyDescent="0.3">
      <c r="A901" s="13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4.25" customHeight="1" x14ac:dyDescent="0.3">
      <c r="A902" s="13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4.25" customHeight="1" x14ac:dyDescent="0.3">
      <c r="A903" s="13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4.25" customHeight="1" x14ac:dyDescent="0.3">
      <c r="A904" s="13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4.25" customHeight="1" x14ac:dyDescent="0.3">
      <c r="A905" s="13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4.25" customHeight="1" x14ac:dyDescent="0.3">
      <c r="A906" s="13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4.25" customHeight="1" x14ac:dyDescent="0.3">
      <c r="A907" s="13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4.25" customHeight="1" x14ac:dyDescent="0.3">
      <c r="A908" s="13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4.25" customHeight="1" x14ac:dyDescent="0.3">
      <c r="A909" s="13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4.25" customHeight="1" x14ac:dyDescent="0.3">
      <c r="A910" s="13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4.25" customHeight="1" x14ac:dyDescent="0.3">
      <c r="A911" s="13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4.25" customHeight="1" x14ac:dyDescent="0.3">
      <c r="A912" s="13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4.25" customHeight="1" x14ac:dyDescent="0.3">
      <c r="A913" s="13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4.25" customHeight="1" x14ac:dyDescent="0.3">
      <c r="A914" s="13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4.25" customHeight="1" x14ac:dyDescent="0.3">
      <c r="A915" s="13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4.25" customHeight="1" x14ac:dyDescent="0.3">
      <c r="A916" s="13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4.25" customHeight="1" x14ac:dyDescent="0.3">
      <c r="A917" s="13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4.25" customHeight="1" x14ac:dyDescent="0.3">
      <c r="A918" s="13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4.25" customHeight="1" x14ac:dyDescent="0.3">
      <c r="A919" s="13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4.25" customHeight="1" x14ac:dyDescent="0.3">
      <c r="A920" s="13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4.25" customHeight="1" x14ac:dyDescent="0.3">
      <c r="A921" s="13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4.25" customHeight="1" x14ac:dyDescent="0.3">
      <c r="A922" s="13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4.25" customHeight="1" x14ac:dyDescent="0.3">
      <c r="A923" s="13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4.25" customHeight="1" x14ac:dyDescent="0.3">
      <c r="A924" s="13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4.25" customHeight="1" x14ac:dyDescent="0.3">
      <c r="A925" s="13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4.25" customHeight="1" x14ac:dyDescent="0.3">
      <c r="A926" s="13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4.25" customHeight="1" x14ac:dyDescent="0.3">
      <c r="A927" s="13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4.25" customHeight="1" x14ac:dyDescent="0.3">
      <c r="A928" s="13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4.25" customHeight="1" x14ac:dyDescent="0.3">
      <c r="A929" s="13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4.25" customHeight="1" x14ac:dyDescent="0.3">
      <c r="A930" s="13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4.25" customHeight="1" x14ac:dyDescent="0.3">
      <c r="A931" s="13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4.25" customHeight="1" x14ac:dyDescent="0.3">
      <c r="A932" s="13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4.25" customHeight="1" x14ac:dyDescent="0.3">
      <c r="A933" s="13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4.25" customHeight="1" x14ac:dyDescent="0.3">
      <c r="A934" s="13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4.25" customHeight="1" x14ac:dyDescent="0.3">
      <c r="A935" s="13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4.25" customHeight="1" x14ac:dyDescent="0.3">
      <c r="A936" s="13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4.25" customHeight="1" x14ac:dyDescent="0.3">
      <c r="A937" s="13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4.25" customHeight="1" x14ac:dyDescent="0.3">
      <c r="A938" s="13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4.25" customHeight="1" x14ac:dyDescent="0.3">
      <c r="A939" s="13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4.25" customHeight="1" x14ac:dyDescent="0.3">
      <c r="A940" s="13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4.25" customHeight="1" x14ac:dyDescent="0.3">
      <c r="A941" s="13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4.25" customHeight="1" x14ac:dyDescent="0.3">
      <c r="A942" s="13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4.25" customHeight="1" x14ac:dyDescent="0.3">
      <c r="A943" s="13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4.25" customHeight="1" x14ac:dyDescent="0.3">
      <c r="A944" s="13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4.25" customHeight="1" x14ac:dyDescent="0.3">
      <c r="A945" s="13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4.25" customHeight="1" x14ac:dyDescent="0.3">
      <c r="A946" s="13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4.25" customHeight="1" x14ac:dyDescent="0.3">
      <c r="A947" s="13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4.25" customHeight="1" x14ac:dyDescent="0.3">
      <c r="A948" s="13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4.25" customHeight="1" x14ac:dyDescent="0.3">
      <c r="A949" s="13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4.25" customHeight="1" x14ac:dyDescent="0.3">
      <c r="A950" s="13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4.25" customHeight="1" x14ac:dyDescent="0.3">
      <c r="A951" s="13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4.25" customHeight="1" x14ac:dyDescent="0.3">
      <c r="A952" s="13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4.25" customHeight="1" x14ac:dyDescent="0.3">
      <c r="A953" s="13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4.25" customHeight="1" x14ac:dyDescent="0.3">
      <c r="A954" s="13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4.25" customHeight="1" x14ac:dyDescent="0.3">
      <c r="A955" s="13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4.25" customHeight="1" x14ac:dyDescent="0.3">
      <c r="A956" s="13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4.25" customHeight="1" x14ac:dyDescent="0.3">
      <c r="A957" s="13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4.25" customHeight="1" x14ac:dyDescent="0.3">
      <c r="A958" s="13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4.25" customHeight="1" x14ac:dyDescent="0.3">
      <c r="A959" s="13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4.25" customHeight="1" x14ac:dyDescent="0.3">
      <c r="A960" s="13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4.25" customHeight="1" x14ac:dyDescent="0.3">
      <c r="A961" s="13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4.25" customHeight="1" x14ac:dyDescent="0.3">
      <c r="A962" s="13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4.25" customHeight="1" x14ac:dyDescent="0.3">
      <c r="A963" s="13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4.25" customHeight="1" x14ac:dyDescent="0.3">
      <c r="A964" s="13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4.25" customHeight="1" x14ac:dyDescent="0.3">
      <c r="A965" s="13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4.25" customHeight="1" x14ac:dyDescent="0.3">
      <c r="A966" s="13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4.25" customHeight="1" x14ac:dyDescent="0.3">
      <c r="A967" s="13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4.25" customHeight="1" x14ac:dyDescent="0.3">
      <c r="A968" s="13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4.25" customHeight="1" x14ac:dyDescent="0.3">
      <c r="A969" s="13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4.25" customHeight="1" x14ac:dyDescent="0.3">
      <c r="A970" s="13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4.25" customHeight="1" x14ac:dyDescent="0.3">
      <c r="A971" s="13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4.25" customHeight="1" x14ac:dyDescent="0.3">
      <c r="A972" s="13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4.25" customHeight="1" x14ac:dyDescent="0.3">
      <c r="A973" s="13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4.25" customHeight="1" x14ac:dyDescent="0.3">
      <c r="A974" s="13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4.25" customHeight="1" x14ac:dyDescent="0.3">
      <c r="A975" s="13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4.25" customHeight="1" x14ac:dyDescent="0.3">
      <c r="A976" s="13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4.25" customHeight="1" x14ac:dyDescent="0.3">
      <c r="A977" s="13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4.25" customHeight="1" x14ac:dyDescent="0.3">
      <c r="A978" s="13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4.25" customHeight="1" x14ac:dyDescent="0.3">
      <c r="A979" s="13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4.25" customHeight="1" x14ac:dyDescent="0.3">
      <c r="A980" s="13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4.25" customHeight="1" x14ac:dyDescent="0.3">
      <c r="A981" s="13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4.25" customHeight="1" x14ac:dyDescent="0.3">
      <c r="A982" s="13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4.25" customHeight="1" x14ac:dyDescent="0.3">
      <c r="A983" s="13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4.25" customHeight="1" x14ac:dyDescent="0.3">
      <c r="A984" s="13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4.25" customHeight="1" x14ac:dyDescent="0.3">
      <c r="A985" s="13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4.25" customHeight="1" x14ac:dyDescent="0.3">
      <c r="A986" s="13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4.25" customHeight="1" x14ac:dyDescent="0.3">
      <c r="A987" s="13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4.25" customHeight="1" x14ac:dyDescent="0.3">
      <c r="A988" s="13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4.25" customHeight="1" x14ac:dyDescent="0.3">
      <c r="A989" s="13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4.25" customHeight="1" x14ac:dyDescent="0.3">
      <c r="A990" s="13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4.25" customHeight="1" x14ac:dyDescent="0.3">
      <c r="A991" s="13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4.25" customHeight="1" x14ac:dyDescent="0.3">
      <c r="A992" s="13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4.25" customHeight="1" x14ac:dyDescent="0.3">
      <c r="A993" s="13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4.25" customHeight="1" x14ac:dyDescent="0.3">
      <c r="A994" s="13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4.25" customHeight="1" x14ac:dyDescent="0.3">
      <c r="A995" s="13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4.25" customHeight="1" x14ac:dyDescent="0.3">
      <c r="A996" s="13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4.25" customHeight="1" x14ac:dyDescent="0.3">
      <c r="A997" s="13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4.25" customHeight="1" x14ac:dyDescent="0.3">
      <c r="A998" s="13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4.25" customHeight="1" x14ac:dyDescent="0.3">
      <c r="A999" s="13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4.25" customHeight="1" x14ac:dyDescent="0.3">
      <c r="A1000" s="13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59">
    <mergeCell ref="E32:F32"/>
    <mergeCell ref="E33:F33"/>
    <mergeCell ref="E34:F34"/>
    <mergeCell ref="E35:F35"/>
    <mergeCell ref="E36:F36"/>
    <mergeCell ref="C28:D28"/>
    <mergeCell ref="E28:F28"/>
    <mergeCell ref="E29:F29"/>
    <mergeCell ref="E30:F30"/>
    <mergeCell ref="C31:D31"/>
    <mergeCell ref="E31:F31"/>
    <mergeCell ref="E23:F23"/>
    <mergeCell ref="C24:D24"/>
    <mergeCell ref="C25:D25"/>
    <mergeCell ref="C26:D26"/>
    <mergeCell ref="B27:D27"/>
    <mergeCell ref="E27:F27"/>
    <mergeCell ref="C19:D19"/>
    <mergeCell ref="C20:D20"/>
    <mergeCell ref="B21:D21"/>
    <mergeCell ref="B22:D22"/>
    <mergeCell ref="B23:D23"/>
    <mergeCell ref="B16:D16"/>
    <mergeCell ref="B17:D17"/>
    <mergeCell ref="E17:F17"/>
    <mergeCell ref="G17:H17"/>
    <mergeCell ref="C18:D18"/>
    <mergeCell ref="C11:D11"/>
    <mergeCell ref="C12:D12"/>
    <mergeCell ref="B13:D13"/>
    <mergeCell ref="B14:D14"/>
    <mergeCell ref="B15:D15"/>
    <mergeCell ref="A8:A9"/>
    <mergeCell ref="E8:F8"/>
    <mergeCell ref="J8:J9"/>
    <mergeCell ref="B8:D9"/>
    <mergeCell ref="B10:D10"/>
    <mergeCell ref="E10:F10"/>
    <mergeCell ref="G8:H8"/>
    <mergeCell ref="I8:I9"/>
    <mergeCell ref="K8:K9"/>
    <mergeCell ref="G10:H10"/>
    <mergeCell ref="I1:J1"/>
    <mergeCell ref="C2:J2"/>
    <mergeCell ref="C3:J3"/>
    <mergeCell ref="C4:J4"/>
    <mergeCell ref="E48:F48"/>
    <mergeCell ref="E37:F37"/>
    <mergeCell ref="E38:F38"/>
    <mergeCell ref="E39:F39"/>
    <mergeCell ref="E40:F40"/>
    <mergeCell ref="E42:F42"/>
    <mergeCell ref="E43:F43"/>
    <mergeCell ref="E45:F45"/>
    <mergeCell ref="C45:D45"/>
    <mergeCell ref="C46:D46"/>
    <mergeCell ref="C47:D47"/>
    <mergeCell ref="E46:F46"/>
    <mergeCell ref="E47:F47"/>
  </mergeCells>
  <pageMargins left="0.7" right="0.7" top="0.75" bottom="0.75" header="0" footer="0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</sheetPr>
  <dimension ref="A1:Z1000"/>
  <sheetViews>
    <sheetView workbookViewId="0"/>
  </sheetViews>
  <sheetFormatPr defaultColWidth="14.44140625" defaultRowHeight="15" customHeight="1" x14ac:dyDescent="0.3"/>
  <cols>
    <col min="1" max="1" width="4.44140625" customWidth="1"/>
    <col min="2" max="2" width="5.5546875" customWidth="1"/>
    <col min="3" max="3" width="6" customWidth="1"/>
    <col min="4" max="4" width="49.88671875" customWidth="1"/>
    <col min="5" max="5" width="17.5546875" customWidth="1"/>
    <col min="6" max="6" width="17.109375" customWidth="1"/>
    <col min="7" max="26" width="8.6640625" customWidth="1"/>
  </cols>
  <sheetData>
    <row r="1" spans="1:26" ht="14.25" customHeight="1" x14ac:dyDescent="0.3">
      <c r="A1" s="34"/>
      <c r="B1" s="34"/>
      <c r="C1" s="34"/>
      <c r="D1" s="32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customHeight="1" x14ac:dyDescent="0.3">
      <c r="A2" s="264" t="s">
        <v>284</v>
      </c>
      <c r="B2" s="219"/>
      <c r="C2" s="219"/>
      <c r="D2" s="219"/>
      <c r="E2" s="219"/>
      <c r="F2" s="219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4.25" customHeight="1" x14ac:dyDescent="0.3">
      <c r="A3" s="264" t="s">
        <v>285</v>
      </c>
      <c r="B3" s="219"/>
      <c r="C3" s="219"/>
      <c r="D3" s="219"/>
      <c r="E3" s="219"/>
      <c r="F3" s="219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25" customHeight="1" x14ac:dyDescent="0.3">
      <c r="A4" s="264" t="s">
        <v>286</v>
      </c>
      <c r="B4" s="219"/>
      <c r="C4" s="219"/>
      <c r="D4" s="219"/>
      <c r="E4" s="219"/>
      <c r="F4" s="219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4.25" customHeight="1" x14ac:dyDescent="0.3">
      <c r="A5" s="264" t="s">
        <v>287</v>
      </c>
      <c r="B5" s="219"/>
      <c r="C5" s="219"/>
      <c r="D5" s="219"/>
      <c r="E5" s="219"/>
      <c r="F5" s="219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4.25" customHeight="1" x14ac:dyDescent="0.3">
      <c r="A6" s="34"/>
      <c r="B6" s="34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 x14ac:dyDescent="0.3">
      <c r="A7" s="98" t="s">
        <v>288</v>
      </c>
      <c r="B7" s="85" t="s">
        <v>289</v>
      </c>
      <c r="C7" s="85"/>
      <c r="D7" s="99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4.25" customHeight="1" x14ac:dyDescent="0.3">
      <c r="A8" s="10"/>
      <c r="B8" s="34"/>
      <c r="C8" s="34"/>
      <c r="D8" s="32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 x14ac:dyDescent="0.3">
      <c r="A9" s="12"/>
      <c r="B9" s="100" t="s">
        <v>290</v>
      </c>
      <c r="C9" s="12" t="s">
        <v>291</v>
      </c>
      <c r="D9" s="35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9.25" customHeight="1" x14ac:dyDescent="0.3">
      <c r="A10" s="31"/>
      <c r="B10" s="31"/>
      <c r="C10" s="101" t="s">
        <v>3</v>
      </c>
      <c r="D10" s="102" t="s">
        <v>4</v>
      </c>
      <c r="E10" s="101" t="s">
        <v>292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4.25" customHeight="1" x14ac:dyDescent="0.3">
      <c r="A11" s="34"/>
      <c r="B11" s="34"/>
      <c r="C11" s="265" t="s">
        <v>293</v>
      </c>
      <c r="D11" s="261"/>
      <c r="E11" s="246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 x14ac:dyDescent="0.3">
      <c r="A12" s="34"/>
      <c r="B12" s="34"/>
      <c r="C12" s="103" t="s">
        <v>290</v>
      </c>
      <c r="D12" s="25" t="s">
        <v>294</v>
      </c>
      <c r="E12" s="10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 x14ac:dyDescent="0.3">
      <c r="A13" s="34"/>
      <c r="B13" s="34"/>
      <c r="C13" s="103" t="s">
        <v>295</v>
      </c>
      <c r="D13" s="25" t="s">
        <v>296</v>
      </c>
      <c r="E13" s="10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 x14ac:dyDescent="0.3">
      <c r="A14" s="34"/>
      <c r="B14" s="34"/>
      <c r="C14" s="103" t="s">
        <v>297</v>
      </c>
      <c r="D14" s="25" t="s">
        <v>298</v>
      </c>
      <c r="E14" s="10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 x14ac:dyDescent="0.3">
      <c r="A15" s="34"/>
      <c r="B15" s="34"/>
      <c r="C15" s="103" t="s">
        <v>299</v>
      </c>
      <c r="D15" s="25" t="s">
        <v>300</v>
      </c>
      <c r="E15" s="10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 x14ac:dyDescent="0.3">
      <c r="A16" s="34"/>
      <c r="B16" s="34"/>
      <c r="C16" s="103" t="s">
        <v>301</v>
      </c>
      <c r="D16" s="25" t="s">
        <v>302</v>
      </c>
      <c r="E16" s="10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x14ac:dyDescent="0.3">
      <c r="A17" s="34"/>
      <c r="B17" s="34"/>
      <c r="C17" s="265" t="s">
        <v>303</v>
      </c>
      <c r="D17" s="261"/>
      <c r="E17" s="246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x14ac:dyDescent="0.3">
      <c r="A18" s="34"/>
      <c r="B18" s="34"/>
      <c r="C18" s="103" t="s">
        <v>290</v>
      </c>
      <c r="D18" s="25" t="s">
        <v>294</v>
      </c>
      <c r="E18" s="10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 x14ac:dyDescent="0.3">
      <c r="A19" s="34"/>
      <c r="B19" s="34"/>
      <c r="C19" s="103" t="s">
        <v>295</v>
      </c>
      <c r="D19" s="25" t="s">
        <v>304</v>
      </c>
      <c r="E19" s="10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 x14ac:dyDescent="0.3">
      <c r="A20" s="34"/>
      <c r="B20" s="34"/>
      <c r="C20" s="103" t="s">
        <v>297</v>
      </c>
      <c r="D20" s="25" t="s">
        <v>305</v>
      </c>
      <c r="E20" s="10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 x14ac:dyDescent="0.3">
      <c r="A21" s="34"/>
      <c r="B21" s="34"/>
      <c r="C21" s="103" t="s">
        <v>299</v>
      </c>
      <c r="D21" s="25" t="s">
        <v>306</v>
      </c>
      <c r="E21" s="10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 x14ac:dyDescent="0.3">
      <c r="A22" s="34"/>
      <c r="B22" s="34"/>
      <c r="C22" s="103" t="s">
        <v>301</v>
      </c>
      <c r="D22" s="25" t="s">
        <v>307</v>
      </c>
      <c r="E22" s="10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 x14ac:dyDescent="0.3">
      <c r="A23" s="85"/>
      <c r="B23" s="85"/>
      <c r="C23" s="263" t="s">
        <v>146</v>
      </c>
      <c r="D23" s="246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4.25" customHeight="1" x14ac:dyDescent="0.3">
      <c r="A24" s="34"/>
      <c r="B24" s="34"/>
      <c r="C24" s="34"/>
      <c r="D24" s="32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x14ac:dyDescent="0.3">
      <c r="A25" s="12"/>
      <c r="B25" s="100" t="s">
        <v>295</v>
      </c>
      <c r="C25" s="12" t="s">
        <v>308</v>
      </c>
      <c r="D25" s="3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4.75" customHeight="1" x14ac:dyDescent="0.3">
      <c r="A26" s="16"/>
      <c r="B26" s="16"/>
      <c r="C26" s="101" t="s">
        <v>3</v>
      </c>
      <c r="D26" s="102" t="s">
        <v>4</v>
      </c>
      <c r="E26" s="101" t="s">
        <v>292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4.25" customHeight="1" x14ac:dyDescent="0.3">
      <c r="A27" s="34"/>
      <c r="B27" s="34"/>
      <c r="C27" s="103" t="s">
        <v>290</v>
      </c>
      <c r="D27" s="25" t="s">
        <v>309</v>
      </c>
      <c r="E27" s="10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 x14ac:dyDescent="0.3">
      <c r="A28" s="34"/>
      <c r="B28" s="34"/>
      <c r="C28" s="103" t="s">
        <v>295</v>
      </c>
      <c r="D28" s="25" t="s">
        <v>310</v>
      </c>
      <c r="E28" s="10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 x14ac:dyDescent="0.3">
      <c r="A29" s="34"/>
      <c r="B29" s="34"/>
      <c r="C29" s="103" t="s">
        <v>297</v>
      </c>
      <c r="D29" s="25" t="s">
        <v>311</v>
      </c>
      <c r="E29" s="10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 x14ac:dyDescent="0.3">
      <c r="A30" s="34"/>
      <c r="B30" s="34"/>
      <c r="C30" s="103" t="s">
        <v>299</v>
      </c>
      <c r="D30" s="25" t="s">
        <v>312</v>
      </c>
      <c r="E30" s="10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x14ac:dyDescent="0.3">
      <c r="A31" s="34"/>
      <c r="B31" s="34"/>
      <c r="C31" s="103" t="s">
        <v>301</v>
      </c>
      <c r="D31" s="25" t="s">
        <v>313</v>
      </c>
      <c r="E31" s="10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x14ac:dyDescent="0.3">
      <c r="A32" s="85"/>
      <c r="B32" s="85"/>
      <c r="C32" s="263" t="s">
        <v>146</v>
      </c>
      <c r="D32" s="246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4.25" customHeight="1" x14ac:dyDescent="0.3">
      <c r="A33" s="34"/>
      <c r="B33" s="34"/>
      <c r="C33" s="34"/>
      <c r="D33" s="32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x14ac:dyDescent="0.3">
      <c r="A34" s="34"/>
      <c r="B34" s="100" t="s">
        <v>297</v>
      </c>
      <c r="C34" s="34" t="s">
        <v>314</v>
      </c>
      <c r="D34" s="32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29.25" customHeight="1" x14ac:dyDescent="0.3">
      <c r="A35" s="85"/>
      <c r="B35" s="85"/>
      <c r="C35" s="101" t="s">
        <v>3</v>
      </c>
      <c r="D35" s="102" t="s">
        <v>4</v>
      </c>
      <c r="E35" s="101" t="s">
        <v>292</v>
      </c>
      <c r="F35" s="101" t="s">
        <v>315</v>
      </c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4.25" customHeight="1" x14ac:dyDescent="0.3">
      <c r="A36" s="34"/>
      <c r="B36" s="34"/>
      <c r="C36" s="103" t="s">
        <v>290</v>
      </c>
      <c r="D36" s="25" t="s">
        <v>316</v>
      </c>
      <c r="E36" s="104"/>
      <c r="F36" s="10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x14ac:dyDescent="0.3">
      <c r="A37" s="34"/>
      <c r="B37" s="34"/>
      <c r="C37" s="103" t="s">
        <v>295</v>
      </c>
      <c r="D37" s="25" t="s">
        <v>317</v>
      </c>
      <c r="E37" s="104"/>
      <c r="F37" s="10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x14ac:dyDescent="0.3">
      <c r="A38" s="34"/>
      <c r="B38" s="34"/>
      <c r="C38" s="103" t="s">
        <v>297</v>
      </c>
      <c r="D38" s="25" t="s">
        <v>318</v>
      </c>
      <c r="E38" s="104"/>
      <c r="F38" s="10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x14ac:dyDescent="0.3">
      <c r="A39" s="34"/>
      <c r="B39" s="34"/>
      <c r="C39" s="103" t="s">
        <v>299</v>
      </c>
      <c r="D39" s="25" t="s">
        <v>319</v>
      </c>
      <c r="E39" s="104"/>
      <c r="F39" s="10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 x14ac:dyDescent="0.3">
      <c r="A40" s="85"/>
      <c r="B40" s="85"/>
      <c r="C40" s="263" t="s">
        <v>146</v>
      </c>
      <c r="D40" s="246"/>
      <c r="E40" s="105"/>
      <c r="F40" s="10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4.25" customHeight="1" x14ac:dyDescent="0.3">
      <c r="A41" s="34"/>
      <c r="B41" s="34"/>
      <c r="C41" s="34"/>
      <c r="D41" s="32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 x14ac:dyDescent="0.3">
      <c r="A42" s="34"/>
      <c r="B42" s="100" t="s">
        <v>299</v>
      </c>
      <c r="C42" s="34" t="s">
        <v>320</v>
      </c>
      <c r="D42" s="32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24.75" customHeight="1" x14ac:dyDescent="0.3">
      <c r="A43" s="16"/>
      <c r="B43" s="16"/>
      <c r="C43" s="101" t="s">
        <v>3</v>
      </c>
      <c r="D43" s="102" t="s">
        <v>4</v>
      </c>
      <c r="E43" s="101" t="s">
        <v>292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3">
      <c r="A44" s="34"/>
      <c r="B44" s="34"/>
      <c r="C44" s="103" t="s">
        <v>290</v>
      </c>
      <c r="D44" s="25" t="s">
        <v>321</v>
      </c>
      <c r="E44" s="10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x14ac:dyDescent="0.3">
      <c r="A45" s="34"/>
      <c r="B45" s="34"/>
      <c r="C45" s="103" t="s">
        <v>295</v>
      </c>
      <c r="D45" s="25" t="s">
        <v>322</v>
      </c>
      <c r="E45" s="10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x14ac:dyDescent="0.3">
      <c r="A46" s="85"/>
      <c r="B46" s="85"/>
      <c r="C46" s="263" t="s">
        <v>146</v>
      </c>
      <c r="D46" s="246"/>
      <c r="E46" s="10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4.25" customHeight="1" x14ac:dyDescent="0.3">
      <c r="A47" s="34"/>
      <c r="B47" s="34"/>
      <c r="C47" s="34"/>
      <c r="D47" s="32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 x14ac:dyDescent="0.3">
      <c r="A48" s="34"/>
      <c r="B48" s="100" t="s">
        <v>301</v>
      </c>
      <c r="C48" s="34" t="s">
        <v>323</v>
      </c>
      <c r="D48" s="32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24.75" customHeight="1" x14ac:dyDescent="0.3">
      <c r="A49" s="16"/>
      <c r="B49" s="16"/>
      <c r="C49" s="101" t="s">
        <v>3</v>
      </c>
      <c r="D49" s="102" t="s">
        <v>4</v>
      </c>
      <c r="E49" s="101" t="s">
        <v>292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4.25" customHeight="1" x14ac:dyDescent="0.3">
      <c r="A50" s="34"/>
      <c r="B50" s="34"/>
      <c r="C50" s="103" t="s">
        <v>290</v>
      </c>
      <c r="D50" s="25" t="s">
        <v>324</v>
      </c>
      <c r="E50" s="10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 x14ac:dyDescent="0.3">
      <c r="A51" s="34"/>
      <c r="B51" s="34"/>
      <c r="C51" s="103" t="s">
        <v>295</v>
      </c>
      <c r="D51" s="25" t="s">
        <v>325</v>
      </c>
      <c r="E51" s="10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x14ac:dyDescent="0.3">
      <c r="A52" s="34"/>
      <c r="B52" s="34"/>
      <c r="C52" s="103" t="s">
        <v>297</v>
      </c>
      <c r="D52" s="25" t="s">
        <v>326</v>
      </c>
      <c r="E52" s="10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x14ac:dyDescent="0.3">
      <c r="A53" s="34"/>
      <c r="B53" s="34"/>
      <c r="C53" s="103" t="s">
        <v>299</v>
      </c>
      <c r="D53" s="25" t="s">
        <v>327</v>
      </c>
      <c r="E53" s="10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 x14ac:dyDescent="0.3">
      <c r="A54" s="34"/>
      <c r="B54" s="34"/>
      <c r="C54" s="103" t="s">
        <v>301</v>
      </c>
      <c r="D54" s="25" t="s">
        <v>328</v>
      </c>
      <c r="E54" s="10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 x14ac:dyDescent="0.3">
      <c r="A55" s="85"/>
      <c r="B55" s="85"/>
      <c r="C55" s="263" t="s">
        <v>146</v>
      </c>
      <c r="D55" s="246"/>
      <c r="E55" s="10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4.25" customHeight="1" x14ac:dyDescent="0.3">
      <c r="A56" s="34"/>
      <c r="B56" s="34"/>
      <c r="C56" s="34"/>
      <c r="D56" s="32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x14ac:dyDescent="0.3">
      <c r="A57" s="34"/>
      <c r="B57" s="34"/>
      <c r="C57" s="34"/>
      <c r="D57" s="32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 x14ac:dyDescent="0.3">
      <c r="A58" s="34"/>
      <c r="B58" s="34"/>
      <c r="C58" s="34"/>
      <c r="D58" s="32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x14ac:dyDescent="0.3">
      <c r="A59" s="34"/>
      <c r="B59" s="34"/>
      <c r="C59" s="34"/>
      <c r="D59" s="32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x14ac:dyDescent="0.3">
      <c r="A60" s="34"/>
      <c r="B60" s="34"/>
      <c r="C60" s="34"/>
      <c r="D60" s="32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 x14ac:dyDescent="0.3">
      <c r="A61" s="34"/>
      <c r="B61" s="34"/>
      <c r="C61" s="34"/>
      <c r="D61" s="32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4.25" customHeight="1" x14ac:dyDescent="0.3">
      <c r="A62" s="34"/>
      <c r="B62" s="34"/>
      <c r="C62" s="34"/>
      <c r="D62" s="32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4.25" customHeight="1" x14ac:dyDescent="0.3">
      <c r="A63" s="34"/>
      <c r="B63" s="34"/>
      <c r="C63" s="34"/>
      <c r="D63" s="32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4.25" customHeight="1" x14ac:dyDescent="0.3">
      <c r="A64" s="34"/>
      <c r="B64" s="34"/>
      <c r="C64" s="34"/>
      <c r="D64" s="32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4.25" customHeight="1" x14ac:dyDescent="0.3">
      <c r="A65" s="34"/>
      <c r="B65" s="34"/>
      <c r="C65" s="34"/>
      <c r="D65" s="32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4.25" customHeight="1" x14ac:dyDescent="0.3">
      <c r="A66" s="34"/>
      <c r="B66" s="34"/>
      <c r="C66" s="34"/>
      <c r="D66" s="32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4.25" customHeight="1" x14ac:dyDescent="0.3">
      <c r="A67" s="34"/>
      <c r="B67" s="34"/>
      <c r="C67" s="34"/>
      <c r="D67" s="32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4.25" customHeight="1" x14ac:dyDescent="0.3">
      <c r="A68" s="34"/>
      <c r="B68" s="34"/>
      <c r="C68" s="34"/>
      <c r="D68" s="32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4.25" customHeight="1" x14ac:dyDescent="0.3">
      <c r="A69" s="34"/>
      <c r="B69" s="34"/>
      <c r="C69" s="34"/>
      <c r="D69" s="32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4.25" customHeight="1" x14ac:dyDescent="0.3">
      <c r="A70" s="34"/>
      <c r="B70" s="34"/>
      <c r="C70" s="34"/>
      <c r="D70" s="32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4.25" customHeight="1" x14ac:dyDescent="0.3">
      <c r="A71" s="34"/>
      <c r="B71" s="34"/>
      <c r="C71" s="34"/>
      <c r="D71" s="32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4.25" customHeight="1" x14ac:dyDescent="0.3">
      <c r="A72" s="34"/>
      <c r="B72" s="34"/>
      <c r="C72" s="34"/>
      <c r="D72" s="32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4.25" customHeight="1" x14ac:dyDescent="0.3">
      <c r="A73" s="34"/>
      <c r="B73" s="34"/>
      <c r="C73" s="34"/>
      <c r="D73" s="32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4.25" customHeight="1" x14ac:dyDescent="0.3">
      <c r="A74" s="34"/>
      <c r="B74" s="34"/>
      <c r="C74" s="34"/>
      <c r="D74" s="32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4.25" customHeight="1" x14ac:dyDescent="0.3">
      <c r="A75" s="34"/>
      <c r="B75" s="34"/>
      <c r="C75" s="34"/>
      <c r="D75" s="32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4.25" customHeight="1" x14ac:dyDescent="0.3">
      <c r="A76" s="34"/>
      <c r="B76" s="34"/>
      <c r="C76" s="34"/>
      <c r="D76" s="32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4.25" customHeight="1" x14ac:dyDescent="0.3">
      <c r="A77" s="34"/>
      <c r="B77" s="34"/>
      <c r="C77" s="34"/>
      <c r="D77" s="32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4.25" customHeight="1" x14ac:dyDescent="0.3">
      <c r="A78" s="34"/>
      <c r="B78" s="34"/>
      <c r="C78" s="34"/>
      <c r="D78" s="32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4.25" customHeight="1" x14ac:dyDescent="0.3">
      <c r="A79" s="34"/>
      <c r="B79" s="34"/>
      <c r="C79" s="34"/>
      <c r="D79" s="32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4.25" customHeight="1" x14ac:dyDescent="0.3">
      <c r="A80" s="34"/>
      <c r="B80" s="34"/>
      <c r="C80" s="34"/>
      <c r="D80" s="32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4.25" customHeight="1" x14ac:dyDescent="0.3">
      <c r="A81" s="34"/>
      <c r="B81" s="34"/>
      <c r="C81" s="34"/>
      <c r="D81" s="32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4.25" customHeight="1" x14ac:dyDescent="0.3">
      <c r="A82" s="34"/>
      <c r="B82" s="34"/>
      <c r="C82" s="34"/>
      <c r="D82" s="32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4.25" customHeight="1" x14ac:dyDescent="0.3">
      <c r="A83" s="34"/>
      <c r="B83" s="34"/>
      <c r="C83" s="34"/>
      <c r="D83" s="32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4.25" customHeight="1" x14ac:dyDescent="0.3">
      <c r="A84" s="34"/>
      <c r="B84" s="34"/>
      <c r="C84" s="34"/>
      <c r="D84" s="32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4.25" customHeight="1" x14ac:dyDescent="0.3">
      <c r="A85" s="34"/>
      <c r="B85" s="34"/>
      <c r="C85" s="34"/>
      <c r="D85" s="32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4.25" customHeight="1" x14ac:dyDescent="0.3">
      <c r="A86" s="34"/>
      <c r="B86" s="34"/>
      <c r="C86" s="34"/>
      <c r="D86" s="32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4.25" customHeight="1" x14ac:dyDescent="0.3">
      <c r="A87" s="34"/>
      <c r="B87" s="34"/>
      <c r="C87" s="34"/>
      <c r="D87" s="32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4.25" customHeight="1" x14ac:dyDescent="0.3">
      <c r="A88" s="34"/>
      <c r="B88" s="34"/>
      <c r="C88" s="34"/>
      <c r="D88" s="32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4.25" customHeight="1" x14ac:dyDescent="0.3">
      <c r="A89" s="34"/>
      <c r="B89" s="34"/>
      <c r="C89" s="34"/>
      <c r="D89" s="32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4.25" customHeight="1" x14ac:dyDescent="0.3">
      <c r="A90" s="34"/>
      <c r="B90" s="34"/>
      <c r="C90" s="34"/>
      <c r="D90" s="32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4.25" customHeight="1" x14ac:dyDescent="0.3">
      <c r="A91" s="34"/>
      <c r="B91" s="34"/>
      <c r="C91" s="34"/>
      <c r="D91" s="32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4.25" customHeight="1" x14ac:dyDescent="0.3">
      <c r="A92" s="34"/>
      <c r="B92" s="34"/>
      <c r="C92" s="34"/>
      <c r="D92" s="32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4.25" customHeight="1" x14ac:dyDescent="0.3">
      <c r="A93" s="34"/>
      <c r="B93" s="34"/>
      <c r="C93" s="34"/>
      <c r="D93" s="32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4.25" customHeight="1" x14ac:dyDescent="0.3">
      <c r="A94" s="34"/>
      <c r="B94" s="34"/>
      <c r="C94" s="34"/>
      <c r="D94" s="32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4.25" customHeight="1" x14ac:dyDescent="0.3">
      <c r="A95" s="34"/>
      <c r="B95" s="34"/>
      <c r="C95" s="34"/>
      <c r="D95" s="32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4.25" customHeight="1" x14ac:dyDescent="0.3">
      <c r="A96" s="34"/>
      <c r="B96" s="34"/>
      <c r="C96" s="34"/>
      <c r="D96" s="32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4.25" customHeight="1" x14ac:dyDescent="0.3">
      <c r="A97" s="34"/>
      <c r="B97" s="34"/>
      <c r="C97" s="34"/>
      <c r="D97" s="32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4.25" customHeight="1" x14ac:dyDescent="0.3">
      <c r="A98" s="34"/>
      <c r="B98" s="34"/>
      <c r="C98" s="34"/>
      <c r="D98" s="32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4.25" customHeight="1" x14ac:dyDescent="0.3">
      <c r="A99" s="34"/>
      <c r="B99" s="34"/>
      <c r="C99" s="34"/>
      <c r="D99" s="32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4.25" customHeight="1" x14ac:dyDescent="0.3">
      <c r="A100" s="34"/>
      <c r="B100" s="34"/>
      <c r="C100" s="34"/>
      <c r="D100" s="32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4.25" customHeight="1" x14ac:dyDescent="0.3">
      <c r="A101" s="34"/>
      <c r="B101" s="34"/>
      <c r="C101" s="34"/>
      <c r="D101" s="32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4.25" customHeight="1" x14ac:dyDescent="0.3">
      <c r="A102" s="34"/>
      <c r="B102" s="34"/>
      <c r="C102" s="34"/>
      <c r="D102" s="32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4.25" customHeight="1" x14ac:dyDescent="0.3">
      <c r="A103" s="34"/>
      <c r="B103" s="34"/>
      <c r="C103" s="34"/>
      <c r="D103" s="32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4.25" customHeight="1" x14ac:dyDescent="0.3">
      <c r="A104" s="34"/>
      <c r="B104" s="34"/>
      <c r="C104" s="34"/>
      <c r="D104" s="32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4.25" customHeight="1" x14ac:dyDescent="0.3">
      <c r="A105" s="34"/>
      <c r="B105" s="34"/>
      <c r="C105" s="34"/>
      <c r="D105" s="32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4.25" customHeight="1" x14ac:dyDescent="0.3">
      <c r="A106" s="34"/>
      <c r="B106" s="34"/>
      <c r="C106" s="34"/>
      <c r="D106" s="32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4.25" customHeight="1" x14ac:dyDescent="0.3">
      <c r="A107" s="34"/>
      <c r="B107" s="34"/>
      <c r="C107" s="34"/>
      <c r="D107" s="32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4.25" customHeight="1" x14ac:dyDescent="0.3">
      <c r="A108" s="34"/>
      <c r="B108" s="34"/>
      <c r="C108" s="34"/>
      <c r="D108" s="32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4.25" customHeight="1" x14ac:dyDescent="0.3">
      <c r="A109" s="34"/>
      <c r="B109" s="34"/>
      <c r="C109" s="34"/>
      <c r="D109" s="32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4.25" customHeight="1" x14ac:dyDescent="0.3">
      <c r="A110" s="34"/>
      <c r="B110" s="34"/>
      <c r="C110" s="34"/>
      <c r="D110" s="32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4.25" customHeight="1" x14ac:dyDescent="0.3">
      <c r="A111" s="34"/>
      <c r="B111" s="34"/>
      <c r="C111" s="34"/>
      <c r="D111" s="32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4.25" customHeight="1" x14ac:dyDescent="0.3">
      <c r="A112" s="34"/>
      <c r="B112" s="34"/>
      <c r="C112" s="34"/>
      <c r="D112" s="32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4.25" customHeight="1" x14ac:dyDescent="0.3">
      <c r="A113" s="34"/>
      <c r="B113" s="34"/>
      <c r="C113" s="34"/>
      <c r="D113" s="32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4.25" customHeight="1" x14ac:dyDescent="0.3">
      <c r="A114" s="34"/>
      <c r="B114" s="34"/>
      <c r="C114" s="34"/>
      <c r="D114" s="32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4.25" customHeight="1" x14ac:dyDescent="0.3">
      <c r="A115" s="34"/>
      <c r="B115" s="34"/>
      <c r="C115" s="34"/>
      <c r="D115" s="32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4.25" customHeight="1" x14ac:dyDescent="0.3">
      <c r="A116" s="34"/>
      <c r="B116" s="34"/>
      <c r="C116" s="34"/>
      <c r="D116" s="32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4.25" customHeight="1" x14ac:dyDescent="0.3">
      <c r="A117" s="34"/>
      <c r="B117" s="34"/>
      <c r="C117" s="34"/>
      <c r="D117" s="32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4.25" customHeight="1" x14ac:dyDescent="0.3">
      <c r="A118" s="34"/>
      <c r="B118" s="34"/>
      <c r="C118" s="34"/>
      <c r="D118" s="32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4.25" customHeight="1" x14ac:dyDescent="0.3">
      <c r="A119" s="34"/>
      <c r="B119" s="34"/>
      <c r="C119" s="34"/>
      <c r="D119" s="32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4.25" customHeight="1" x14ac:dyDescent="0.3">
      <c r="A120" s="34"/>
      <c r="B120" s="34"/>
      <c r="C120" s="34"/>
      <c r="D120" s="32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4.25" customHeight="1" x14ac:dyDescent="0.3">
      <c r="A121" s="34"/>
      <c r="B121" s="34"/>
      <c r="C121" s="34"/>
      <c r="D121" s="32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4.25" customHeight="1" x14ac:dyDescent="0.3">
      <c r="A122" s="34"/>
      <c r="B122" s="34"/>
      <c r="C122" s="34"/>
      <c r="D122" s="32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4.25" customHeight="1" x14ac:dyDescent="0.3">
      <c r="A123" s="34"/>
      <c r="B123" s="34"/>
      <c r="C123" s="34"/>
      <c r="D123" s="32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4.25" customHeight="1" x14ac:dyDescent="0.3">
      <c r="A124" s="34"/>
      <c r="B124" s="34"/>
      <c r="C124" s="34"/>
      <c r="D124" s="32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4.25" customHeight="1" x14ac:dyDescent="0.3">
      <c r="A125" s="34"/>
      <c r="B125" s="34"/>
      <c r="C125" s="34"/>
      <c r="D125" s="32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4.25" customHeight="1" x14ac:dyDescent="0.3">
      <c r="A126" s="34"/>
      <c r="B126" s="34"/>
      <c r="C126" s="34"/>
      <c r="D126" s="32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4.25" customHeight="1" x14ac:dyDescent="0.3">
      <c r="A127" s="34"/>
      <c r="B127" s="34"/>
      <c r="C127" s="34"/>
      <c r="D127" s="32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4.25" customHeight="1" x14ac:dyDescent="0.3">
      <c r="A128" s="34"/>
      <c r="B128" s="34"/>
      <c r="C128" s="34"/>
      <c r="D128" s="32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4.25" customHeight="1" x14ac:dyDescent="0.3">
      <c r="A129" s="34"/>
      <c r="B129" s="34"/>
      <c r="C129" s="34"/>
      <c r="D129" s="32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4.25" customHeight="1" x14ac:dyDescent="0.3">
      <c r="A130" s="34"/>
      <c r="B130" s="34"/>
      <c r="C130" s="34"/>
      <c r="D130" s="32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4.25" customHeight="1" x14ac:dyDescent="0.3">
      <c r="A131" s="34"/>
      <c r="B131" s="34"/>
      <c r="C131" s="34"/>
      <c r="D131" s="32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4.25" customHeight="1" x14ac:dyDescent="0.3">
      <c r="A132" s="34"/>
      <c r="B132" s="34"/>
      <c r="C132" s="34"/>
      <c r="D132" s="32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4.25" customHeight="1" x14ac:dyDescent="0.3">
      <c r="A133" s="34"/>
      <c r="B133" s="34"/>
      <c r="C133" s="34"/>
      <c r="D133" s="32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4.25" customHeight="1" x14ac:dyDescent="0.3">
      <c r="A134" s="34"/>
      <c r="B134" s="34"/>
      <c r="C134" s="34"/>
      <c r="D134" s="32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4.25" customHeight="1" x14ac:dyDescent="0.3">
      <c r="A135" s="34"/>
      <c r="B135" s="34"/>
      <c r="C135" s="34"/>
      <c r="D135" s="32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4.25" customHeight="1" x14ac:dyDescent="0.3">
      <c r="A136" s="34"/>
      <c r="B136" s="34"/>
      <c r="C136" s="34"/>
      <c r="D136" s="32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4.25" customHeight="1" x14ac:dyDescent="0.3">
      <c r="A137" s="34"/>
      <c r="B137" s="34"/>
      <c r="C137" s="34"/>
      <c r="D137" s="32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4.25" customHeight="1" x14ac:dyDescent="0.3">
      <c r="A138" s="34"/>
      <c r="B138" s="34"/>
      <c r="C138" s="34"/>
      <c r="D138" s="32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4.25" customHeight="1" x14ac:dyDescent="0.3">
      <c r="A139" s="34"/>
      <c r="B139" s="34"/>
      <c r="C139" s="34"/>
      <c r="D139" s="32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4.25" customHeight="1" x14ac:dyDescent="0.3">
      <c r="A140" s="34"/>
      <c r="B140" s="34"/>
      <c r="C140" s="34"/>
      <c r="D140" s="32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4.25" customHeight="1" x14ac:dyDescent="0.3">
      <c r="A141" s="34"/>
      <c r="B141" s="34"/>
      <c r="C141" s="34"/>
      <c r="D141" s="32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4.25" customHeight="1" x14ac:dyDescent="0.3">
      <c r="A142" s="34"/>
      <c r="B142" s="34"/>
      <c r="C142" s="34"/>
      <c r="D142" s="32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4.25" customHeight="1" x14ac:dyDescent="0.3">
      <c r="A143" s="34"/>
      <c r="B143" s="34"/>
      <c r="C143" s="34"/>
      <c r="D143" s="32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4.25" customHeight="1" x14ac:dyDescent="0.3">
      <c r="A144" s="34"/>
      <c r="B144" s="34"/>
      <c r="C144" s="34"/>
      <c r="D144" s="32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4.25" customHeight="1" x14ac:dyDescent="0.3">
      <c r="A145" s="34"/>
      <c r="B145" s="34"/>
      <c r="C145" s="34"/>
      <c r="D145" s="32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4.25" customHeight="1" x14ac:dyDescent="0.3">
      <c r="A146" s="34"/>
      <c r="B146" s="34"/>
      <c r="C146" s="34"/>
      <c r="D146" s="32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4.25" customHeight="1" x14ac:dyDescent="0.3">
      <c r="A147" s="34"/>
      <c r="B147" s="34"/>
      <c r="C147" s="34"/>
      <c r="D147" s="32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4.25" customHeight="1" x14ac:dyDescent="0.3">
      <c r="A148" s="34"/>
      <c r="B148" s="34"/>
      <c r="C148" s="34"/>
      <c r="D148" s="32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4.25" customHeight="1" x14ac:dyDescent="0.3">
      <c r="A149" s="34"/>
      <c r="B149" s="34"/>
      <c r="C149" s="34"/>
      <c r="D149" s="32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4.25" customHeight="1" x14ac:dyDescent="0.3">
      <c r="A150" s="34"/>
      <c r="B150" s="34"/>
      <c r="C150" s="34"/>
      <c r="D150" s="32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4.25" customHeight="1" x14ac:dyDescent="0.3">
      <c r="A151" s="34"/>
      <c r="B151" s="34"/>
      <c r="C151" s="34"/>
      <c r="D151" s="32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4.25" customHeight="1" x14ac:dyDescent="0.3">
      <c r="A152" s="34"/>
      <c r="B152" s="34"/>
      <c r="C152" s="34"/>
      <c r="D152" s="32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4.25" customHeight="1" x14ac:dyDescent="0.3">
      <c r="A153" s="34"/>
      <c r="B153" s="34"/>
      <c r="C153" s="34"/>
      <c r="D153" s="32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4.25" customHeight="1" x14ac:dyDescent="0.3">
      <c r="A154" s="34"/>
      <c r="B154" s="34"/>
      <c r="C154" s="34"/>
      <c r="D154" s="32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4.25" customHeight="1" x14ac:dyDescent="0.3">
      <c r="A155" s="34"/>
      <c r="B155" s="34"/>
      <c r="C155" s="34"/>
      <c r="D155" s="32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4.25" customHeight="1" x14ac:dyDescent="0.3">
      <c r="A156" s="34"/>
      <c r="B156" s="34"/>
      <c r="C156" s="34"/>
      <c r="D156" s="32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4.25" customHeight="1" x14ac:dyDescent="0.3">
      <c r="A157" s="34"/>
      <c r="B157" s="34"/>
      <c r="C157" s="34"/>
      <c r="D157" s="32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4.25" customHeight="1" x14ac:dyDescent="0.3">
      <c r="A158" s="34"/>
      <c r="B158" s="34"/>
      <c r="C158" s="34"/>
      <c r="D158" s="32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4.25" customHeight="1" x14ac:dyDescent="0.3">
      <c r="A159" s="34"/>
      <c r="B159" s="34"/>
      <c r="C159" s="34"/>
      <c r="D159" s="32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4.25" customHeight="1" x14ac:dyDescent="0.3">
      <c r="A160" s="34"/>
      <c r="B160" s="34"/>
      <c r="C160" s="34"/>
      <c r="D160" s="32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4.25" customHeight="1" x14ac:dyDescent="0.3">
      <c r="A161" s="34"/>
      <c r="B161" s="34"/>
      <c r="C161" s="34"/>
      <c r="D161" s="32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4.25" customHeight="1" x14ac:dyDescent="0.3">
      <c r="A162" s="34"/>
      <c r="B162" s="34"/>
      <c r="C162" s="34"/>
      <c r="D162" s="32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4.25" customHeight="1" x14ac:dyDescent="0.3">
      <c r="A163" s="34"/>
      <c r="B163" s="34"/>
      <c r="C163" s="34"/>
      <c r="D163" s="32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4.25" customHeight="1" x14ac:dyDescent="0.3">
      <c r="A164" s="34"/>
      <c r="B164" s="34"/>
      <c r="C164" s="34"/>
      <c r="D164" s="32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4.25" customHeight="1" x14ac:dyDescent="0.3">
      <c r="A165" s="34"/>
      <c r="B165" s="34"/>
      <c r="C165" s="34"/>
      <c r="D165" s="32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4.25" customHeight="1" x14ac:dyDescent="0.3">
      <c r="A166" s="34"/>
      <c r="B166" s="34"/>
      <c r="C166" s="34"/>
      <c r="D166" s="32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4.25" customHeight="1" x14ac:dyDescent="0.3">
      <c r="A167" s="34"/>
      <c r="B167" s="34"/>
      <c r="C167" s="34"/>
      <c r="D167" s="32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4.25" customHeight="1" x14ac:dyDescent="0.3">
      <c r="A168" s="34"/>
      <c r="B168" s="34"/>
      <c r="C168" s="34"/>
      <c r="D168" s="32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4.25" customHeight="1" x14ac:dyDescent="0.3">
      <c r="A169" s="34"/>
      <c r="B169" s="34"/>
      <c r="C169" s="34"/>
      <c r="D169" s="32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4.25" customHeight="1" x14ac:dyDescent="0.3">
      <c r="A170" s="34"/>
      <c r="B170" s="34"/>
      <c r="C170" s="34"/>
      <c r="D170" s="32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4.25" customHeight="1" x14ac:dyDescent="0.3">
      <c r="A171" s="34"/>
      <c r="B171" s="34"/>
      <c r="C171" s="34"/>
      <c r="D171" s="32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4.25" customHeight="1" x14ac:dyDescent="0.3">
      <c r="A172" s="34"/>
      <c r="B172" s="34"/>
      <c r="C172" s="34"/>
      <c r="D172" s="32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4.25" customHeight="1" x14ac:dyDescent="0.3">
      <c r="A173" s="34"/>
      <c r="B173" s="34"/>
      <c r="C173" s="34"/>
      <c r="D173" s="32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4.25" customHeight="1" x14ac:dyDescent="0.3">
      <c r="A174" s="34"/>
      <c r="B174" s="34"/>
      <c r="C174" s="34"/>
      <c r="D174" s="32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4.25" customHeight="1" x14ac:dyDescent="0.3">
      <c r="A175" s="34"/>
      <c r="B175" s="34"/>
      <c r="C175" s="34"/>
      <c r="D175" s="32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4.25" customHeight="1" x14ac:dyDescent="0.3">
      <c r="A176" s="34"/>
      <c r="B176" s="34"/>
      <c r="C176" s="34"/>
      <c r="D176" s="32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4.25" customHeight="1" x14ac:dyDescent="0.3">
      <c r="A177" s="34"/>
      <c r="B177" s="34"/>
      <c r="C177" s="34"/>
      <c r="D177" s="32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4.25" customHeight="1" x14ac:dyDescent="0.3">
      <c r="A178" s="34"/>
      <c r="B178" s="34"/>
      <c r="C178" s="34"/>
      <c r="D178" s="32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4.25" customHeight="1" x14ac:dyDescent="0.3">
      <c r="A179" s="34"/>
      <c r="B179" s="34"/>
      <c r="C179" s="34"/>
      <c r="D179" s="32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4.25" customHeight="1" x14ac:dyDescent="0.3">
      <c r="A180" s="34"/>
      <c r="B180" s="34"/>
      <c r="C180" s="34"/>
      <c r="D180" s="32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4.25" customHeight="1" x14ac:dyDescent="0.3">
      <c r="A181" s="34"/>
      <c r="B181" s="34"/>
      <c r="C181" s="34"/>
      <c r="D181" s="32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4.25" customHeight="1" x14ac:dyDescent="0.3">
      <c r="A182" s="34"/>
      <c r="B182" s="34"/>
      <c r="C182" s="34"/>
      <c r="D182" s="32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4.25" customHeight="1" x14ac:dyDescent="0.3">
      <c r="A183" s="34"/>
      <c r="B183" s="34"/>
      <c r="C183" s="34"/>
      <c r="D183" s="32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4.25" customHeight="1" x14ac:dyDescent="0.3">
      <c r="A184" s="34"/>
      <c r="B184" s="34"/>
      <c r="C184" s="34"/>
      <c r="D184" s="32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4.25" customHeight="1" x14ac:dyDescent="0.3">
      <c r="A185" s="34"/>
      <c r="B185" s="34"/>
      <c r="C185" s="34"/>
      <c r="D185" s="32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4.25" customHeight="1" x14ac:dyDescent="0.3">
      <c r="A186" s="34"/>
      <c r="B186" s="34"/>
      <c r="C186" s="34"/>
      <c r="D186" s="32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4.25" customHeight="1" x14ac:dyDescent="0.3">
      <c r="A187" s="34"/>
      <c r="B187" s="34"/>
      <c r="C187" s="34"/>
      <c r="D187" s="32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4.25" customHeight="1" x14ac:dyDescent="0.3">
      <c r="A188" s="34"/>
      <c r="B188" s="34"/>
      <c r="C188" s="34"/>
      <c r="D188" s="32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4.25" customHeight="1" x14ac:dyDescent="0.3">
      <c r="A189" s="34"/>
      <c r="B189" s="34"/>
      <c r="C189" s="34"/>
      <c r="D189" s="32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4.25" customHeight="1" x14ac:dyDescent="0.3">
      <c r="A190" s="34"/>
      <c r="B190" s="34"/>
      <c r="C190" s="34"/>
      <c r="D190" s="32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4.25" customHeight="1" x14ac:dyDescent="0.3">
      <c r="A191" s="34"/>
      <c r="B191" s="34"/>
      <c r="C191" s="34"/>
      <c r="D191" s="32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4.25" customHeight="1" x14ac:dyDescent="0.3">
      <c r="A192" s="34"/>
      <c r="B192" s="34"/>
      <c r="C192" s="34"/>
      <c r="D192" s="32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4.25" customHeight="1" x14ac:dyDescent="0.3">
      <c r="A193" s="34"/>
      <c r="B193" s="34"/>
      <c r="C193" s="34"/>
      <c r="D193" s="32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4.25" customHeight="1" x14ac:dyDescent="0.3">
      <c r="A194" s="34"/>
      <c r="B194" s="34"/>
      <c r="C194" s="34"/>
      <c r="D194" s="32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4.25" customHeight="1" x14ac:dyDescent="0.3">
      <c r="A195" s="34"/>
      <c r="B195" s="34"/>
      <c r="C195" s="34"/>
      <c r="D195" s="32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4.25" customHeight="1" x14ac:dyDescent="0.3">
      <c r="A196" s="34"/>
      <c r="B196" s="34"/>
      <c r="C196" s="34"/>
      <c r="D196" s="32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4.25" customHeight="1" x14ac:dyDescent="0.3">
      <c r="A197" s="34"/>
      <c r="B197" s="34"/>
      <c r="C197" s="34"/>
      <c r="D197" s="32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4.25" customHeight="1" x14ac:dyDescent="0.3">
      <c r="A198" s="34"/>
      <c r="B198" s="34"/>
      <c r="C198" s="34"/>
      <c r="D198" s="32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4.25" customHeight="1" x14ac:dyDescent="0.3">
      <c r="A199" s="34"/>
      <c r="B199" s="34"/>
      <c r="C199" s="34"/>
      <c r="D199" s="32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4.25" customHeight="1" x14ac:dyDescent="0.3">
      <c r="A200" s="34"/>
      <c r="B200" s="34"/>
      <c r="C200" s="34"/>
      <c r="D200" s="32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4.25" customHeight="1" x14ac:dyDescent="0.3">
      <c r="A201" s="34"/>
      <c r="B201" s="34"/>
      <c r="C201" s="34"/>
      <c r="D201" s="32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4.25" customHeight="1" x14ac:dyDescent="0.3">
      <c r="A202" s="34"/>
      <c r="B202" s="34"/>
      <c r="C202" s="34"/>
      <c r="D202" s="32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4.25" customHeight="1" x14ac:dyDescent="0.3">
      <c r="A203" s="34"/>
      <c r="B203" s="34"/>
      <c r="C203" s="34"/>
      <c r="D203" s="32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4.25" customHeight="1" x14ac:dyDescent="0.3">
      <c r="A204" s="34"/>
      <c r="B204" s="34"/>
      <c r="C204" s="34"/>
      <c r="D204" s="32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4.25" customHeight="1" x14ac:dyDescent="0.3">
      <c r="A205" s="34"/>
      <c r="B205" s="34"/>
      <c r="C205" s="34"/>
      <c r="D205" s="32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4.25" customHeight="1" x14ac:dyDescent="0.3">
      <c r="A206" s="34"/>
      <c r="B206" s="34"/>
      <c r="C206" s="34"/>
      <c r="D206" s="32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4.25" customHeight="1" x14ac:dyDescent="0.3">
      <c r="A207" s="34"/>
      <c r="B207" s="34"/>
      <c r="C207" s="34"/>
      <c r="D207" s="32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4.25" customHeight="1" x14ac:dyDescent="0.3">
      <c r="A208" s="34"/>
      <c r="B208" s="34"/>
      <c r="C208" s="34"/>
      <c r="D208" s="32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4.25" customHeight="1" x14ac:dyDescent="0.3">
      <c r="A209" s="34"/>
      <c r="B209" s="34"/>
      <c r="C209" s="34"/>
      <c r="D209" s="32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4.25" customHeight="1" x14ac:dyDescent="0.3">
      <c r="A210" s="34"/>
      <c r="B210" s="34"/>
      <c r="C210" s="34"/>
      <c r="D210" s="32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4.25" customHeight="1" x14ac:dyDescent="0.3">
      <c r="A211" s="34"/>
      <c r="B211" s="34"/>
      <c r="C211" s="34"/>
      <c r="D211" s="32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4.25" customHeight="1" x14ac:dyDescent="0.3">
      <c r="A212" s="34"/>
      <c r="B212" s="34"/>
      <c r="C212" s="34"/>
      <c r="D212" s="32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4.25" customHeight="1" x14ac:dyDescent="0.3">
      <c r="A213" s="34"/>
      <c r="B213" s="34"/>
      <c r="C213" s="34"/>
      <c r="D213" s="32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4.25" customHeight="1" x14ac:dyDescent="0.3">
      <c r="A214" s="34"/>
      <c r="B214" s="34"/>
      <c r="C214" s="34"/>
      <c r="D214" s="32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4.25" customHeight="1" x14ac:dyDescent="0.3">
      <c r="A215" s="34"/>
      <c r="B215" s="34"/>
      <c r="C215" s="34"/>
      <c r="D215" s="32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4.25" customHeight="1" x14ac:dyDescent="0.3">
      <c r="A216" s="34"/>
      <c r="B216" s="34"/>
      <c r="C216" s="34"/>
      <c r="D216" s="32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4.25" customHeight="1" x14ac:dyDescent="0.3">
      <c r="A217" s="34"/>
      <c r="B217" s="34"/>
      <c r="C217" s="34"/>
      <c r="D217" s="32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4.25" customHeight="1" x14ac:dyDescent="0.3">
      <c r="A218" s="34"/>
      <c r="B218" s="34"/>
      <c r="C218" s="34"/>
      <c r="D218" s="32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4.25" customHeight="1" x14ac:dyDescent="0.3">
      <c r="A219" s="34"/>
      <c r="B219" s="34"/>
      <c r="C219" s="34"/>
      <c r="D219" s="32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4.25" customHeight="1" x14ac:dyDescent="0.3">
      <c r="A220" s="34"/>
      <c r="B220" s="34"/>
      <c r="C220" s="34"/>
      <c r="D220" s="32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4.25" customHeight="1" x14ac:dyDescent="0.3">
      <c r="A221" s="34"/>
      <c r="B221" s="34"/>
      <c r="C221" s="34"/>
      <c r="D221" s="32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4.25" customHeight="1" x14ac:dyDescent="0.3">
      <c r="A222" s="34"/>
      <c r="B222" s="34"/>
      <c r="C222" s="34"/>
      <c r="D222" s="32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4.25" customHeight="1" x14ac:dyDescent="0.3">
      <c r="A223" s="34"/>
      <c r="B223" s="34"/>
      <c r="C223" s="34"/>
      <c r="D223" s="32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4.25" customHeight="1" x14ac:dyDescent="0.3">
      <c r="A224" s="34"/>
      <c r="B224" s="34"/>
      <c r="C224" s="34"/>
      <c r="D224" s="32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4.25" customHeight="1" x14ac:dyDescent="0.3">
      <c r="A225" s="34"/>
      <c r="B225" s="34"/>
      <c r="C225" s="34"/>
      <c r="D225" s="32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4.25" customHeight="1" x14ac:dyDescent="0.3">
      <c r="A226" s="34"/>
      <c r="B226" s="34"/>
      <c r="C226" s="34"/>
      <c r="D226" s="32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4.25" customHeight="1" x14ac:dyDescent="0.3">
      <c r="A227" s="34"/>
      <c r="B227" s="34"/>
      <c r="C227" s="34"/>
      <c r="D227" s="32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4.25" customHeight="1" x14ac:dyDescent="0.3">
      <c r="A228" s="34"/>
      <c r="B228" s="34"/>
      <c r="C228" s="34"/>
      <c r="D228" s="32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4.25" customHeight="1" x14ac:dyDescent="0.3">
      <c r="A229" s="34"/>
      <c r="B229" s="34"/>
      <c r="C229" s="34"/>
      <c r="D229" s="32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4.25" customHeight="1" x14ac:dyDescent="0.3">
      <c r="A230" s="34"/>
      <c r="B230" s="34"/>
      <c r="C230" s="34"/>
      <c r="D230" s="32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4.25" customHeight="1" x14ac:dyDescent="0.3">
      <c r="A231" s="34"/>
      <c r="B231" s="34"/>
      <c r="C231" s="34"/>
      <c r="D231" s="32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4.25" customHeight="1" x14ac:dyDescent="0.3">
      <c r="A232" s="34"/>
      <c r="B232" s="34"/>
      <c r="C232" s="34"/>
      <c r="D232" s="32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4.25" customHeight="1" x14ac:dyDescent="0.3">
      <c r="A233" s="34"/>
      <c r="B233" s="34"/>
      <c r="C233" s="34"/>
      <c r="D233" s="32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4.25" customHeight="1" x14ac:dyDescent="0.3">
      <c r="A234" s="34"/>
      <c r="B234" s="34"/>
      <c r="C234" s="34"/>
      <c r="D234" s="32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4.25" customHeight="1" x14ac:dyDescent="0.3">
      <c r="A235" s="34"/>
      <c r="B235" s="34"/>
      <c r="C235" s="34"/>
      <c r="D235" s="32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4.25" customHeight="1" x14ac:dyDescent="0.3">
      <c r="A236" s="34"/>
      <c r="B236" s="34"/>
      <c r="C236" s="34"/>
      <c r="D236" s="32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4.25" customHeight="1" x14ac:dyDescent="0.3">
      <c r="A237" s="34"/>
      <c r="B237" s="34"/>
      <c r="C237" s="34"/>
      <c r="D237" s="32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4.25" customHeight="1" x14ac:dyDescent="0.3">
      <c r="A238" s="34"/>
      <c r="B238" s="34"/>
      <c r="C238" s="34"/>
      <c r="D238" s="32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4.25" customHeight="1" x14ac:dyDescent="0.3">
      <c r="A239" s="34"/>
      <c r="B239" s="34"/>
      <c r="C239" s="34"/>
      <c r="D239" s="32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4.25" customHeight="1" x14ac:dyDescent="0.3">
      <c r="A240" s="34"/>
      <c r="B240" s="34"/>
      <c r="C240" s="34"/>
      <c r="D240" s="32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4.25" customHeight="1" x14ac:dyDescent="0.3">
      <c r="A241" s="34"/>
      <c r="B241" s="34"/>
      <c r="C241" s="34"/>
      <c r="D241" s="32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4.25" customHeight="1" x14ac:dyDescent="0.3">
      <c r="A242" s="34"/>
      <c r="B242" s="34"/>
      <c r="C242" s="34"/>
      <c r="D242" s="32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4.25" customHeight="1" x14ac:dyDescent="0.3">
      <c r="A243" s="34"/>
      <c r="B243" s="34"/>
      <c r="C243" s="34"/>
      <c r="D243" s="32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4.25" customHeight="1" x14ac:dyDescent="0.3">
      <c r="A244" s="34"/>
      <c r="B244" s="34"/>
      <c r="C244" s="34"/>
      <c r="D244" s="32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4.25" customHeight="1" x14ac:dyDescent="0.3">
      <c r="A245" s="34"/>
      <c r="B245" s="34"/>
      <c r="C245" s="34"/>
      <c r="D245" s="32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4.25" customHeight="1" x14ac:dyDescent="0.3">
      <c r="A246" s="34"/>
      <c r="B246" s="34"/>
      <c r="C246" s="34"/>
      <c r="D246" s="32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4.25" customHeight="1" x14ac:dyDescent="0.3">
      <c r="A247" s="34"/>
      <c r="B247" s="34"/>
      <c r="C247" s="34"/>
      <c r="D247" s="32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4.25" customHeight="1" x14ac:dyDescent="0.3">
      <c r="A248" s="34"/>
      <c r="B248" s="34"/>
      <c r="C248" s="34"/>
      <c r="D248" s="32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4.25" customHeight="1" x14ac:dyDescent="0.3">
      <c r="A249" s="34"/>
      <c r="B249" s="34"/>
      <c r="C249" s="34"/>
      <c r="D249" s="32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4.25" customHeight="1" x14ac:dyDescent="0.3">
      <c r="A250" s="34"/>
      <c r="B250" s="34"/>
      <c r="C250" s="34"/>
      <c r="D250" s="32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4.25" customHeight="1" x14ac:dyDescent="0.3">
      <c r="A251" s="34"/>
      <c r="B251" s="34"/>
      <c r="C251" s="34"/>
      <c r="D251" s="32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4.25" customHeight="1" x14ac:dyDescent="0.3">
      <c r="A252" s="34"/>
      <c r="B252" s="34"/>
      <c r="C252" s="34"/>
      <c r="D252" s="32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4.25" customHeight="1" x14ac:dyDescent="0.3">
      <c r="A253" s="34"/>
      <c r="B253" s="34"/>
      <c r="C253" s="34"/>
      <c r="D253" s="32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4.25" customHeight="1" x14ac:dyDescent="0.3">
      <c r="A254" s="34"/>
      <c r="B254" s="34"/>
      <c r="C254" s="34"/>
      <c r="D254" s="32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4.25" customHeight="1" x14ac:dyDescent="0.3">
      <c r="A255" s="34"/>
      <c r="B255" s="34"/>
      <c r="C255" s="34"/>
      <c r="D255" s="32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4.25" customHeight="1" x14ac:dyDescent="0.3">
      <c r="A256" s="34"/>
      <c r="B256" s="34"/>
      <c r="C256" s="34"/>
      <c r="D256" s="32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4.25" customHeight="1" x14ac:dyDescent="0.3">
      <c r="A257" s="34"/>
      <c r="B257" s="34"/>
      <c r="C257" s="34"/>
      <c r="D257" s="32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4.25" customHeight="1" x14ac:dyDescent="0.3">
      <c r="A258" s="34"/>
      <c r="B258" s="34"/>
      <c r="C258" s="34"/>
      <c r="D258" s="32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4.25" customHeight="1" x14ac:dyDescent="0.3">
      <c r="A259" s="34"/>
      <c r="B259" s="34"/>
      <c r="C259" s="34"/>
      <c r="D259" s="32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4.25" customHeight="1" x14ac:dyDescent="0.3">
      <c r="A260" s="34"/>
      <c r="B260" s="34"/>
      <c r="C260" s="34"/>
      <c r="D260" s="32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4.25" customHeight="1" x14ac:dyDescent="0.3">
      <c r="A261" s="34"/>
      <c r="B261" s="34"/>
      <c r="C261" s="34"/>
      <c r="D261" s="32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4.25" customHeight="1" x14ac:dyDescent="0.3">
      <c r="A262" s="34"/>
      <c r="B262" s="34"/>
      <c r="C262" s="34"/>
      <c r="D262" s="32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4.25" customHeight="1" x14ac:dyDescent="0.3">
      <c r="A263" s="34"/>
      <c r="B263" s="34"/>
      <c r="C263" s="34"/>
      <c r="D263" s="32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4.25" customHeight="1" x14ac:dyDescent="0.3">
      <c r="A264" s="34"/>
      <c r="B264" s="34"/>
      <c r="C264" s="34"/>
      <c r="D264" s="32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4.25" customHeight="1" x14ac:dyDescent="0.3">
      <c r="A265" s="34"/>
      <c r="B265" s="34"/>
      <c r="C265" s="34"/>
      <c r="D265" s="32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4.25" customHeight="1" x14ac:dyDescent="0.3">
      <c r="A266" s="34"/>
      <c r="B266" s="34"/>
      <c r="C266" s="34"/>
      <c r="D266" s="32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4.25" customHeight="1" x14ac:dyDescent="0.3">
      <c r="A267" s="34"/>
      <c r="B267" s="34"/>
      <c r="C267" s="34"/>
      <c r="D267" s="32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4.25" customHeight="1" x14ac:dyDescent="0.3">
      <c r="A268" s="34"/>
      <c r="B268" s="34"/>
      <c r="C268" s="34"/>
      <c r="D268" s="32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4.25" customHeight="1" x14ac:dyDescent="0.3">
      <c r="A269" s="34"/>
      <c r="B269" s="34"/>
      <c r="C269" s="34"/>
      <c r="D269" s="32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4.25" customHeight="1" x14ac:dyDescent="0.3">
      <c r="A270" s="34"/>
      <c r="B270" s="34"/>
      <c r="C270" s="34"/>
      <c r="D270" s="32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4.25" customHeight="1" x14ac:dyDescent="0.3">
      <c r="A271" s="34"/>
      <c r="B271" s="34"/>
      <c r="C271" s="34"/>
      <c r="D271" s="32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4.25" customHeight="1" x14ac:dyDescent="0.3">
      <c r="A272" s="34"/>
      <c r="B272" s="34"/>
      <c r="C272" s="34"/>
      <c r="D272" s="32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4.25" customHeight="1" x14ac:dyDescent="0.3">
      <c r="A273" s="34"/>
      <c r="B273" s="34"/>
      <c r="C273" s="34"/>
      <c r="D273" s="32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4.25" customHeight="1" x14ac:dyDescent="0.3">
      <c r="A274" s="34"/>
      <c r="B274" s="34"/>
      <c r="C274" s="34"/>
      <c r="D274" s="32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4.25" customHeight="1" x14ac:dyDescent="0.3">
      <c r="A275" s="34"/>
      <c r="B275" s="34"/>
      <c r="C275" s="34"/>
      <c r="D275" s="32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4.25" customHeight="1" x14ac:dyDescent="0.3">
      <c r="A276" s="34"/>
      <c r="B276" s="34"/>
      <c r="C276" s="34"/>
      <c r="D276" s="32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4.25" customHeight="1" x14ac:dyDescent="0.3">
      <c r="A277" s="34"/>
      <c r="B277" s="34"/>
      <c r="C277" s="34"/>
      <c r="D277" s="32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4.25" customHeight="1" x14ac:dyDescent="0.3">
      <c r="A278" s="34"/>
      <c r="B278" s="34"/>
      <c r="C278" s="34"/>
      <c r="D278" s="32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4.25" customHeight="1" x14ac:dyDescent="0.3">
      <c r="A279" s="34"/>
      <c r="B279" s="34"/>
      <c r="C279" s="34"/>
      <c r="D279" s="32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4.25" customHeight="1" x14ac:dyDescent="0.3">
      <c r="A280" s="34"/>
      <c r="B280" s="34"/>
      <c r="C280" s="34"/>
      <c r="D280" s="32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4.25" customHeight="1" x14ac:dyDescent="0.3">
      <c r="A281" s="34"/>
      <c r="B281" s="34"/>
      <c r="C281" s="34"/>
      <c r="D281" s="32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4.25" customHeight="1" x14ac:dyDescent="0.3">
      <c r="A282" s="34"/>
      <c r="B282" s="34"/>
      <c r="C282" s="34"/>
      <c r="D282" s="32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4.25" customHeight="1" x14ac:dyDescent="0.3">
      <c r="A283" s="34"/>
      <c r="B283" s="34"/>
      <c r="C283" s="34"/>
      <c r="D283" s="32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4.25" customHeight="1" x14ac:dyDescent="0.3">
      <c r="A284" s="34"/>
      <c r="B284" s="34"/>
      <c r="C284" s="34"/>
      <c r="D284" s="32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4.25" customHeight="1" x14ac:dyDescent="0.3">
      <c r="A285" s="34"/>
      <c r="B285" s="34"/>
      <c r="C285" s="34"/>
      <c r="D285" s="32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4.25" customHeight="1" x14ac:dyDescent="0.3">
      <c r="A286" s="34"/>
      <c r="B286" s="34"/>
      <c r="C286" s="34"/>
      <c r="D286" s="32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4.25" customHeight="1" x14ac:dyDescent="0.3">
      <c r="A287" s="34"/>
      <c r="B287" s="34"/>
      <c r="C287" s="34"/>
      <c r="D287" s="32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4.25" customHeight="1" x14ac:dyDescent="0.3">
      <c r="A288" s="34"/>
      <c r="B288" s="34"/>
      <c r="C288" s="34"/>
      <c r="D288" s="32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4.25" customHeight="1" x14ac:dyDescent="0.3">
      <c r="A289" s="34"/>
      <c r="B289" s="34"/>
      <c r="C289" s="34"/>
      <c r="D289" s="32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4.25" customHeight="1" x14ac:dyDescent="0.3">
      <c r="A290" s="34"/>
      <c r="B290" s="34"/>
      <c r="C290" s="34"/>
      <c r="D290" s="32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4.25" customHeight="1" x14ac:dyDescent="0.3">
      <c r="A291" s="34"/>
      <c r="B291" s="34"/>
      <c r="C291" s="34"/>
      <c r="D291" s="32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4.25" customHeight="1" x14ac:dyDescent="0.3">
      <c r="A292" s="34"/>
      <c r="B292" s="34"/>
      <c r="C292" s="34"/>
      <c r="D292" s="32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4.25" customHeight="1" x14ac:dyDescent="0.3">
      <c r="A293" s="34"/>
      <c r="B293" s="34"/>
      <c r="C293" s="34"/>
      <c r="D293" s="32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4.25" customHeight="1" x14ac:dyDescent="0.3">
      <c r="A294" s="34"/>
      <c r="B294" s="34"/>
      <c r="C294" s="34"/>
      <c r="D294" s="32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4.25" customHeight="1" x14ac:dyDescent="0.3">
      <c r="A295" s="34"/>
      <c r="B295" s="34"/>
      <c r="C295" s="34"/>
      <c r="D295" s="32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4.25" customHeight="1" x14ac:dyDescent="0.3">
      <c r="A296" s="34"/>
      <c r="B296" s="34"/>
      <c r="C296" s="34"/>
      <c r="D296" s="32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4.25" customHeight="1" x14ac:dyDescent="0.3">
      <c r="A297" s="34"/>
      <c r="B297" s="34"/>
      <c r="C297" s="34"/>
      <c r="D297" s="32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4.25" customHeight="1" x14ac:dyDescent="0.3">
      <c r="A298" s="34"/>
      <c r="B298" s="34"/>
      <c r="C298" s="34"/>
      <c r="D298" s="32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4.25" customHeight="1" x14ac:dyDescent="0.3">
      <c r="A299" s="34"/>
      <c r="B299" s="34"/>
      <c r="C299" s="34"/>
      <c r="D299" s="32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4.25" customHeight="1" x14ac:dyDescent="0.3">
      <c r="A300" s="34"/>
      <c r="B300" s="34"/>
      <c r="C300" s="34"/>
      <c r="D300" s="32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4.25" customHeight="1" x14ac:dyDescent="0.3">
      <c r="A301" s="34"/>
      <c r="B301" s="34"/>
      <c r="C301" s="34"/>
      <c r="D301" s="32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4.25" customHeight="1" x14ac:dyDescent="0.3">
      <c r="A302" s="34"/>
      <c r="B302" s="34"/>
      <c r="C302" s="34"/>
      <c r="D302" s="32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4.25" customHeight="1" x14ac:dyDescent="0.3">
      <c r="A303" s="34"/>
      <c r="B303" s="34"/>
      <c r="C303" s="34"/>
      <c r="D303" s="32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4.25" customHeight="1" x14ac:dyDescent="0.3">
      <c r="A304" s="34"/>
      <c r="B304" s="34"/>
      <c r="C304" s="34"/>
      <c r="D304" s="32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4.25" customHeight="1" x14ac:dyDescent="0.3">
      <c r="A305" s="34"/>
      <c r="B305" s="34"/>
      <c r="C305" s="34"/>
      <c r="D305" s="32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4.25" customHeight="1" x14ac:dyDescent="0.3">
      <c r="A306" s="34"/>
      <c r="B306" s="34"/>
      <c r="C306" s="34"/>
      <c r="D306" s="32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4.25" customHeight="1" x14ac:dyDescent="0.3">
      <c r="A307" s="34"/>
      <c r="B307" s="34"/>
      <c r="C307" s="34"/>
      <c r="D307" s="32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4.25" customHeight="1" x14ac:dyDescent="0.3">
      <c r="A308" s="34"/>
      <c r="B308" s="34"/>
      <c r="C308" s="34"/>
      <c r="D308" s="32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4.25" customHeight="1" x14ac:dyDescent="0.3">
      <c r="A309" s="34"/>
      <c r="B309" s="34"/>
      <c r="C309" s="34"/>
      <c r="D309" s="32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4.25" customHeight="1" x14ac:dyDescent="0.3">
      <c r="A310" s="34"/>
      <c r="B310" s="34"/>
      <c r="C310" s="34"/>
      <c r="D310" s="32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4.25" customHeight="1" x14ac:dyDescent="0.3">
      <c r="A311" s="34"/>
      <c r="B311" s="34"/>
      <c r="C311" s="34"/>
      <c r="D311" s="32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4.25" customHeight="1" x14ac:dyDescent="0.3">
      <c r="A312" s="34"/>
      <c r="B312" s="34"/>
      <c r="C312" s="34"/>
      <c r="D312" s="32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4.25" customHeight="1" x14ac:dyDescent="0.3">
      <c r="A313" s="34"/>
      <c r="B313" s="34"/>
      <c r="C313" s="34"/>
      <c r="D313" s="32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4.25" customHeight="1" x14ac:dyDescent="0.3">
      <c r="A314" s="34"/>
      <c r="B314" s="34"/>
      <c r="C314" s="34"/>
      <c r="D314" s="32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4.25" customHeight="1" x14ac:dyDescent="0.3">
      <c r="A315" s="34"/>
      <c r="B315" s="34"/>
      <c r="C315" s="34"/>
      <c r="D315" s="32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4.25" customHeight="1" x14ac:dyDescent="0.3">
      <c r="A316" s="34"/>
      <c r="B316" s="34"/>
      <c r="C316" s="34"/>
      <c r="D316" s="32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4.25" customHeight="1" x14ac:dyDescent="0.3">
      <c r="A317" s="34"/>
      <c r="B317" s="34"/>
      <c r="C317" s="34"/>
      <c r="D317" s="32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4.25" customHeight="1" x14ac:dyDescent="0.3">
      <c r="A318" s="34"/>
      <c r="B318" s="34"/>
      <c r="C318" s="34"/>
      <c r="D318" s="32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4.25" customHeight="1" x14ac:dyDescent="0.3">
      <c r="A319" s="34"/>
      <c r="B319" s="34"/>
      <c r="C319" s="34"/>
      <c r="D319" s="32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4.25" customHeight="1" x14ac:dyDescent="0.3">
      <c r="A320" s="34"/>
      <c r="B320" s="34"/>
      <c r="C320" s="34"/>
      <c r="D320" s="32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4.25" customHeight="1" x14ac:dyDescent="0.3">
      <c r="A321" s="34"/>
      <c r="B321" s="34"/>
      <c r="C321" s="34"/>
      <c r="D321" s="32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4.25" customHeight="1" x14ac:dyDescent="0.3">
      <c r="A322" s="34"/>
      <c r="B322" s="34"/>
      <c r="C322" s="34"/>
      <c r="D322" s="32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4.25" customHeight="1" x14ac:dyDescent="0.3">
      <c r="A323" s="34"/>
      <c r="B323" s="34"/>
      <c r="C323" s="34"/>
      <c r="D323" s="32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4.25" customHeight="1" x14ac:dyDescent="0.3">
      <c r="A324" s="34"/>
      <c r="B324" s="34"/>
      <c r="C324" s="34"/>
      <c r="D324" s="32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4.25" customHeight="1" x14ac:dyDescent="0.3">
      <c r="A325" s="34"/>
      <c r="B325" s="34"/>
      <c r="C325" s="34"/>
      <c r="D325" s="32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4.25" customHeight="1" x14ac:dyDescent="0.3">
      <c r="A326" s="34"/>
      <c r="B326" s="34"/>
      <c r="C326" s="34"/>
      <c r="D326" s="32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4.25" customHeight="1" x14ac:dyDescent="0.3">
      <c r="A327" s="34"/>
      <c r="B327" s="34"/>
      <c r="C327" s="34"/>
      <c r="D327" s="32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4.25" customHeight="1" x14ac:dyDescent="0.3">
      <c r="A328" s="34"/>
      <c r="B328" s="34"/>
      <c r="C328" s="34"/>
      <c r="D328" s="32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4.25" customHeight="1" x14ac:dyDescent="0.3">
      <c r="A329" s="34"/>
      <c r="B329" s="34"/>
      <c r="C329" s="34"/>
      <c r="D329" s="32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4.25" customHeight="1" x14ac:dyDescent="0.3">
      <c r="A330" s="34"/>
      <c r="B330" s="34"/>
      <c r="C330" s="34"/>
      <c r="D330" s="32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4.25" customHeight="1" x14ac:dyDescent="0.3">
      <c r="A331" s="34"/>
      <c r="B331" s="34"/>
      <c r="C331" s="34"/>
      <c r="D331" s="32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4.25" customHeight="1" x14ac:dyDescent="0.3">
      <c r="A332" s="34"/>
      <c r="B332" s="34"/>
      <c r="C332" s="34"/>
      <c r="D332" s="32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4.25" customHeight="1" x14ac:dyDescent="0.3">
      <c r="A333" s="34"/>
      <c r="B333" s="34"/>
      <c r="C333" s="34"/>
      <c r="D333" s="32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4.25" customHeight="1" x14ac:dyDescent="0.3">
      <c r="A334" s="34"/>
      <c r="B334" s="34"/>
      <c r="C334" s="34"/>
      <c r="D334" s="32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4.25" customHeight="1" x14ac:dyDescent="0.3">
      <c r="A335" s="34"/>
      <c r="B335" s="34"/>
      <c r="C335" s="34"/>
      <c r="D335" s="32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4.25" customHeight="1" x14ac:dyDescent="0.3">
      <c r="A336" s="34"/>
      <c r="B336" s="34"/>
      <c r="C336" s="34"/>
      <c r="D336" s="32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4.25" customHeight="1" x14ac:dyDescent="0.3">
      <c r="A337" s="34"/>
      <c r="B337" s="34"/>
      <c r="C337" s="34"/>
      <c r="D337" s="32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4.25" customHeight="1" x14ac:dyDescent="0.3">
      <c r="A338" s="34"/>
      <c r="B338" s="34"/>
      <c r="C338" s="34"/>
      <c r="D338" s="32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4.25" customHeight="1" x14ac:dyDescent="0.3">
      <c r="A339" s="34"/>
      <c r="B339" s="34"/>
      <c r="C339" s="34"/>
      <c r="D339" s="32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4.25" customHeight="1" x14ac:dyDescent="0.3">
      <c r="A340" s="34"/>
      <c r="B340" s="34"/>
      <c r="C340" s="34"/>
      <c r="D340" s="32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4.25" customHeight="1" x14ac:dyDescent="0.3">
      <c r="A341" s="34"/>
      <c r="B341" s="34"/>
      <c r="C341" s="34"/>
      <c r="D341" s="32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4.25" customHeight="1" x14ac:dyDescent="0.3">
      <c r="A342" s="34"/>
      <c r="B342" s="34"/>
      <c r="C342" s="34"/>
      <c r="D342" s="32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4.25" customHeight="1" x14ac:dyDescent="0.3">
      <c r="A343" s="34"/>
      <c r="B343" s="34"/>
      <c r="C343" s="34"/>
      <c r="D343" s="32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4.25" customHeight="1" x14ac:dyDescent="0.3">
      <c r="A344" s="34"/>
      <c r="B344" s="34"/>
      <c r="C344" s="34"/>
      <c r="D344" s="32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4.25" customHeight="1" x14ac:dyDescent="0.3">
      <c r="A345" s="34"/>
      <c r="B345" s="34"/>
      <c r="C345" s="34"/>
      <c r="D345" s="32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4.25" customHeight="1" x14ac:dyDescent="0.3">
      <c r="A346" s="34"/>
      <c r="B346" s="34"/>
      <c r="C346" s="34"/>
      <c r="D346" s="32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4.25" customHeight="1" x14ac:dyDescent="0.3">
      <c r="A347" s="34"/>
      <c r="B347" s="34"/>
      <c r="C347" s="34"/>
      <c r="D347" s="32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4.25" customHeight="1" x14ac:dyDescent="0.3">
      <c r="A348" s="34"/>
      <c r="B348" s="34"/>
      <c r="C348" s="34"/>
      <c r="D348" s="32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4.25" customHeight="1" x14ac:dyDescent="0.3">
      <c r="A349" s="34"/>
      <c r="B349" s="34"/>
      <c r="C349" s="34"/>
      <c r="D349" s="32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4.25" customHeight="1" x14ac:dyDescent="0.3">
      <c r="A350" s="34"/>
      <c r="B350" s="34"/>
      <c r="C350" s="34"/>
      <c r="D350" s="32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4.25" customHeight="1" x14ac:dyDescent="0.3">
      <c r="A351" s="34"/>
      <c r="B351" s="34"/>
      <c r="C351" s="34"/>
      <c r="D351" s="32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4.25" customHeight="1" x14ac:dyDescent="0.3">
      <c r="A352" s="34"/>
      <c r="B352" s="34"/>
      <c r="C352" s="34"/>
      <c r="D352" s="32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4.25" customHeight="1" x14ac:dyDescent="0.3">
      <c r="A353" s="34"/>
      <c r="B353" s="34"/>
      <c r="C353" s="34"/>
      <c r="D353" s="32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4.25" customHeight="1" x14ac:dyDescent="0.3">
      <c r="A354" s="34"/>
      <c r="B354" s="34"/>
      <c r="C354" s="34"/>
      <c r="D354" s="32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4.25" customHeight="1" x14ac:dyDescent="0.3">
      <c r="A355" s="34"/>
      <c r="B355" s="34"/>
      <c r="C355" s="34"/>
      <c r="D355" s="32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4.25" customHeight="1" x14ac:dyDescent="0.3">
      <c r="A356" s="34"/>
      <c r="B356" s="34"/>
      <c r="C356" s="34"/>
      <c r="D356" s="32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4.25" customHeight="1" x14ac:dyDescent="0.3">
      <c r="A357" s="34"/>
      <c r="B357" s="34"/>
      <c r="C357" s="34"/>
      <c r="D357" s="32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4.25" customHeight="1" x14ac:dyDescent="0.3">
      <c r="A358" s="34"/>
      <c r="B358" s="34"/>
      <c r="C358" s="34"/>
      <c r="D358" s="32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4.25" customHeight="1" x14ac:dyDescent="0.3">
      <c r="A359" s="34"/>
      <c r="B359" s="34"/>
      <c r="C359" s="34"/>
      <c r="D359" s="32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4.25" customHeight="1" x14ac:dyDescent="0.3">
      <c r="A360" s="34"/>
      <c r="B360" s="34"/>
      <c r="C360" s="34"/>
      <c r="D360" s="32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4.25" customHeight="1" x14ac:dyDescent="0.3">
      <c r="A361" s="34"/>
      <c r="B361" s="34"/>
      <c r="C361" s="34"/>
      <c r="D361" s="32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4.25" customHeight="1" x14ac:dyDescent="0.3">
      <c r="A362" s="34"/>
      <c r="B362" s="34"/>
      <c r="C362" s="34"/>
      <c r="D362" s="32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4.25" customHeight="1" x14ac:dyDescent="0.3">
      <c r="A363" s="34"/>
      <c r="B363" s="34"/>
      <c r="C363" s="34"/>
      <c r="D363" s="32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4.25" customHeight="1" x14ac:dyDescent="0.3">
      <c r="A364" s="34"/>
      <c r="B364" s="34"/>
      <c r="C364" s="34"/>
      <c r="D364" s="32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4.25" customHeight="1" x14ac:dyDescent="0.3">
      <c r="A365" s="34"/>
      <c r="B365" s="34"/>
      <c r="C365" s="34"/>
      <c r="D365" s="32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4.25" customHeight="1" x14ac:dyDescent="0.3">
      <c r="A366" s="34"/>
      <c r="B366" s="34"/>
      <c r="C366" s="34"/>
      <c r="D366" s="32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4.25" customHeight="1" x14ac:dyDescent="0.3">
      <c r="A367" s="34"/>
      <c r="B367" s="34"/>
      <c r="C367" s="34"/>
      <c r="D367" s="32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4.25" customHeight="1" x14ac:dyDescent="0.3">
      <c r="A368" s="34"/>
      <c r="B368" s="34"/>
      <c r="C368" s="34"/>
      <c r="D368" s="32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4.25" customHeight="1" x14ac:dyDescent="0.3">
      <c r="A369" s="34"/>
      <c r="B369" s="34"/>
      <c r="C369" s="34"/>
      <c r="D369" s="32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4.25" customHeight="1" x14ac:dyDescent="0.3">
      <c r="A370" s="34"/>
      <c r="B370" s="34"/>
      <c r="C370" s="34"/>
      <c r="D370" s="32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4.25" customHeight="1" x14ac:dyDescent="0.3">
      <c r="A371" s="34"/>
      <c r="B371" s="34"/>
      <c r="C371" s="34"/>
      <c r="D371" s="32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4.25" customHeight="1" x14ac:dyDescent="0.3">
      <c r="A372" s="34"/>
      <c r="B372" s="34"/>
      <c r="C372" s="34"/>
      <c r="D372" s="32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4.25" customHeight="1" x14ac:dyDescent="0.3">
      <c r="A373" s="34"/>
      <c r="B373" s="34"/>
      <c r="C373" s="34"/>
      <c r="D373" s="32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4.25" customHeight="1" x14ac:dyDescent="0.3">
      <c r="A374" s="34"/>
      <c r="B374" s="34"/>
      <c r="C374" s="34"/>
      <c r="D374" s="32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4.25" customHeight="1" x14ac:dyDescent="0.3">
      <c r="A375" s="34"/>
      <c r="B375" s="34"/>
      <c r="C375" s="34"/>
      <c r="D375" s="32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4.25" customHeight="1" x14ac:dyDescent="0.3">
      <c r="A376" s="34"/>
      <c r="B376" s="34"/>
      <c r="C376" s="34"/>
      <c r="D376" s="32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4.25" customHeight="1" x14ac:dyDescent="0.3">
      <c r="A377" s="34"/>
      <c r="B377" s="34"/>
      <c r="C377" s="34"/>
      <c r="D377" s="32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4.25" customHeight="1" x14ac:dyDescent="0.3">
      <c r="A378" s="34"/>
      <c r="B378" s="34"/>
      <c r="C378" s="34"/>
      <c r="D378" s="32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4.25" customHeight="1" x14ac:dyDescent="0.3">
      <c r="A379" s="34"/>
      <c r="B379" s="34"/>
      <c r="C379" s="34"/>
      <c r="D379" s="32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4.25" customHeight="1" x14ac:dyDescent="0.3">
      <c r="A380" s="34"/>
      <c r="B380" s="34"/>
      <c r="C380" s="34"/>
      <c r="D380" s="32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4.25" customHeight="1" x14ac:dyDescent="0.3">
      <c r="A381" s="34"/>
      <c r="B381" s="34"/>
      <c r="C381" s="34"/>
      <c r="D381" s="32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4.25" customHeight="1" x14ac:dyDescent="0.3">
      <c r="A382" s="34"/>
      <c r="B382" s="34"/>
      <c r="C382" s="34"/>
      <c r="D382" s="32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4.25" customHeight="1" x14ac:dyDescent="0.3">
      <c r="A383" s="34"/>
      <c r="B383" s="34"/>
      <c r="C383" s="34"/>
      <c r="D383" s="32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4.25" customHeight="1" x14ac:dyDescent="0.3">
      <c r="A384" s="34"/>
      <c r="B384" s="34"/>
      <c r="C384" s="34"/>
      <c r="D384" s="32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4.25" customHeight="1" x14ac:dyDescent="0.3">
      <c r="A385" s="34"/>
      <c r="B385" s="34"/>
      <c r="C385" s="34"/>
      <c r="D385" s="32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4.25" customHeight="1" x14ac:dyDescent="0.3">
      <c r="A386" s="34"/>
      <c r="B386" s="34"/>
      <c r="C386" s="34"/>
      <c r="D386" s="32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4.25" customHeight="1" x14ac:dyDescent="0.3">
      <c r="A387" s="34"/>
      <c r="B387" s="34"/>
      <c r="C387" s="34"/>
      <c r="D387" s="32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4.25" customHeight="1" x14ac:dyDescent="0.3">
      <c r="A388" s="34"/>
      <c r="B388" s="34"/>
      <c r="C388" s="34"/>
      <c r="D388" s="32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4.25" customHeight="1" x14ac:dyDescent="0.3">
      <c r="A389" s="34"/>
      <c r="B389" s="34"/>
      <c r="C389" s="34"/>
      <c r="D389" s="32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4.25" customHeight="1" x14ac:dyDescent="0.3">
      <c r="A390" s="34"/>
      <c r="B390" s="34"/>
      <c r="C390" s="34"/>
      <c r="D390" s="32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4.25" customHeight="1" x14ac:dyDescent="0.3">
      <c r="A391" s="34"/>
      <c r="B391" s="34"/>
      <c r="C391" s="34"/>
      <c r="D391" s="32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4.25" customHeight="1" x14ac:dyDescent="0.3">
      <c r="A392" s="34"/>
      <c r="B392" s="34"/>
      <c r="C392" s="34"/>
      <c r="D392" s="32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4.25" customHeight="1" x14ac:dyDescent="0.3">
      <c r="A393" s="34"/>
      <c r="B393" s="34"/>
      <c r="C393" s="34"/>
      <c r="D393" s="32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4.25" customHeight="1" x14ac:dyDescent="0.3">
      <c r="A394" s="34"/>
      <c r="B394" s="34"/>
      <c r="C394" s="34"/>
      <c r="D394" s="32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4.25" customHeight="1" x14ac:dyDescent="0.3">
      <c r="A395" s="34"/>
      <c r="B395" s="34"/>
      <c r="C395" s="34"/>
      <c r="D395" s="32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4.25" customHeight="1" x14ac:dyDescent="0.3">
      <c r="A396" s="34"/>
      <c r="B396" s="34"/>
      <c r="C396" s="34"/>
      <c r="D396" s="32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4.25" customHeight="1" x14ac:dyDescent="0.3">
      <c r="A397" s="34"/>
      <c r="B397" s="34"/>
      <c r="C397" s="34"/>
      <c r="D397" s="32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4.25" customHeight="1" x14ac:dyDescent="0.3">
      <c r="A398" s="34"/>
      <c r="B398" s="34"/>
      <c r="C398" s="34"/>
      <c r="D398" s="32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4.25" customHeight="1" x14ac:dyDescent="0.3">
      <c r="A399" s="34"/>
      <c r="B399" s="34"/>
      <c r="C399" s="34"/>
      <c r="D399" s="32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4.25" customHeight="1" x14ac:dyDescent="0.3">
      <c r="A400" s="34"/>
      <c r="B400" s="34"/>
      <c r="C400" s="34"/>
      <c r="D400" s="32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4.25" customHeight="1" x14ac:dyDescent="0.3">
      <c r="A401" s="34"/>
      <c r="B401" s="34"/>
      <c r="C401" s="34"/>
      <c r="D401" s="32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4.25" customHeight="1" x14ac:dyDescent="0.3">
      <c r="A402" s="34"/>
      <c r="B402" s="34"/>
      <c r="C402" s="34"/>
      <c r="D402" s="32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4.25" customHeight="1" x14ac:dyDescent="0.3">
      <c r="A403" s="34"/>
      <c r="B403" s="34"/>
      <c r="C403" s="34"/>
      <c r="D403" s="32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4.25" customHeight="1" x14ac:dyDescent="0.3">
      <c r="A404" s="34"/>
      <c r="B404" s="34"/>
      <c r="C404" s="34"/>
      <c r="D404" s="32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4.25" customHeight="1" x14ac:dyDescent="0.3">
      <c r="A405" s="34"/>
      <c r="B405" s="34"/>
      <c r="C405" s="34"/>
      <c r="D405" s="32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4.25" customHeight="1" x14ac:dyDescent="0.3">
      <c r="A406" s="34"/>
      <c r="B406" s="34"/>
      <c r="C406" s="34"/>
      <c r="D406" s="32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4.25" customHeight="1" x14ac:dyDescent="0.3">
      <c r="A407" s="34"/>
      <c r="B407" s="34"/>
      <c r="C407" s="34"/>
      <c r="D407" s="32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4.25" customHeight="1" x14ac:dyDescent="0.3">
      <c r="A408" s="34"/>
      <c r="B408" s="34"/>
      <c r="C408" s="34"/>
      <c r="D408" s="32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4.25" customHeight="1" x14ac:dyDescent="0.3">
      <c r="A409" s="34"/>
      <c r="B409" s="34"/>
      <c r="C409" s="34"/>
      <c r="D409" s="32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4.25" customHeight="1" x14ac:dyDescent="0.3">
      <c r="A410" s="34"/>
      <c r="B410" s="34"/>
      <c r="C410" s="34"/>
      <c r="D410" s="32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4.25" customHeight="1" x14ac:dyDescent="0.3">
      <c r="A411" s="34"/>
      <c r="B411" s="34"/>
      <c r="C411" s="34"/>
      <c r="D411" s="32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4.25" customHeight="1" x14ac:dyDescent="0.3">
      <c r="A412" s="34"/>
      <c r="B412" s="34"/>
      <c r="C412" s="34"/>
      <c r="D412" s="32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4.25" customHeight="1" x14ac:dyDescent="0.3">
      <c r="A413" s="34"/>
      <c r="B413" s="34"/>
      <c r="C413" s="34"/>
      <c r="D413" s="32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4.25" customHeight="1" x14ac:dyDescent="0.3">
      <c r="A414" s="34"/>
      <c r="B414" s="34"/>
      <c r="C414" s="34"/>
      <c r="D414" s="32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4.25" customHeight="1" x14ac:dyDescent="0.3">
      <c r="A415" s="34"/>
      <c r="B415" s="34"/>
      <c r="C415" s="34"/>
      <c r="D415" s="32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4.25" customHeight="1" x14ac:dyDescent="0.3">
      <c r="A416" s="34"/>
      <c r="B416" s="34"/>
      <c r="C416" s="34"/>
      <c r="D416" s="32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4.25" customHeight="1" x14ac:dyDescent="0.3">
      <c r="A417" s="34"/>
      <c r="B417" s="34"/>
      <c r="C417" s="34"/>
      <c r="D417" s="32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4.25" customHeight="1" x14ac:dyDescent="0.3">
      <c r="A418" s="34"/>
      <c r="B418" s="34"/>
      <c r="C418" s="34"/>
      <c r="D418" s="32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4.25" customHeight="1" x14ac:dyDescent="0.3">
      <c r="A419" s="34"/>
      <c r="B419" s="34"/>
      <c r="C419" s="34"/>
      <c r="D419" s="32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4.25" customHeight="1" x14ac:dyDescent="0.3">
      <c r="A420" s="34"/>
      <c r="B420" s="34"/>
      <c r="C420" s="34"/>
      <c r="D420" s="32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4.25" customHeight="1" x14ac:dyDescent="0.3">
      <c r="A421" s="34"/>
      <c r="B421" s="34"/>
      <c r="C421" s="34"/>
      <c r="D421" s="32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4.25" customHeight="1" x14ac:dyDescent="0.3">
      <c r="A422" s="34"/>
      <c r="B422" s="34"/>
      <c r="C422" s="34"/>
      <c r="D422" s="32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4.25" customHeight="1" x14ac:dyDescent="0.3">
      <c r="A423" s="34"/>
      <c r="B423" s="34"/>
      <c r="C423" s="34"/>
      <c r="D423" s="32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4.25" customHeight="1" x14ac:dyDescent="0.3">
      <c r="A424" s="34"/>
      <c r="B424" s="34"/>
      <c r="C424" s="34"/>
      <c r="D424" s="32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4.25" customHeight="1" x14ac:dyDescent="0.3">
      <c r="A425" s="34"/>
      <c r="B425" s="34"/>
      <c r="C425" s="34"/>
      <c r="D425" s="32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4.25" customHeight="1" x14ac:dyDescent="0.3">
      <c r="A426" s="34"/>
      <c r="B426" s="34"/>
      <c r="C426" s="34"/>
      <c r="D426" s="32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4.25" customHeight="1" x14ac:dyDescent="0.3">
      <c r="A427" s="34"/>
      <c r="B427" s="34"/>
      <c r="C427" s="34"/>
      <c r="D427" s="32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4.25" customHeight="1" x14ac:dyDescent="0.3">
      <c r="A428" s="34"/>
      <c r="B428" s="34"/>
      <c r="C428" s="34"/>
      <c r="D428" s="32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4.25" customHeight="1" x14ac:dyDescent="0.3">
      <c r="A429" s="34"/>
      <c r="B429" s="34"/>
      <c r="C429" s="34"/>
      <c r="D429" s="32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4.25" customHeight="1" x14ac:dyDescent="0.3">
      <c r="A430" s="34"/>
      <c r="B430" s="34"/>
      <c r="C430" s="34"/>
      <c r="D430" s="32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4.25" customHeight="1" x14ac:dyDescent="0.3">
      <c r="A431" s="34"/>
      <c r="B431" s="34"/>
      <c r="C431" s="34"/>
      <c r="D431" s="32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4.25" customHeight="1" x14ac:dyDescent="0.3">
      <c r="A432" s="34"/>
      <c r="B432" s="34"/>
      <c r="C432" s="34"/>
      <c r="D432" s="32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4.25" customHeight="1" x14ac:dyDescent="0.3">
      <c r="A433" s="34"/>
      <c r="B433" s="34"/>
      <c r="C433" s="34"/>
      <c r="D433" s="32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4.25" customHeight="1" x14ac:dyDescent="0.3">
      <c r="A434" s="34"/>
      <c r="B434" s="34"/>
      <c r="C434" s="34"/>
      <c r="D434" s="32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4.25" customHeight="1" x14ac:dyDescent="0.3">
      <c r="A435" s="34"/>
      <c r="B435" s="34"/>
      <c r="C435" s="34"/>
      <c r="D435" s="32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4.25" customHeight="1" x14ac:dyDescent="0.3">
      <c r="A436" s="34"/>
      <c r="B436" s="34"/>
      <c r="C436" s="34"/>
      <c r="D436" s="32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4.25" customHeight="1" x14ac:dyDescent="0.3">
      <c r="A437" s="34"/>
      <c r="B437" s="34"/>
      <c r="C437" s="34"/>
      <c r="D437" s="32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4.25" customHeight="1" x14ac:dyDescent="0.3">
      <c r="A438" s="34"/>
      <c r="B438" s="34"/>
      <c r="C438" s="34"/>
      <c r="D438" s="32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4.25" customHeight="1" x14ac:dyDescent="0.3">
      <c r="A439" s="34"/>
      <c r="B439" s="34"/>
      <c r="C439" s="34"/>
      <c r="D439" s="32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4.25" customHeight="1" x14ac:dyDescent="0.3">
      <c r="A440" s="34"/>
      <c r="B440" s="34"/>
      <c r="C440" s="34"/>
      <c r="D440" s="32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4.25" customHeight="1" x14ac:dyDescent="0.3">
      <c r="A441" s="34"/>
      <c r="B441" s="34"/>
      <c r="C441" s="34"/>
      <c r="D441" s="32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4.25" customHeight="1" x14ac:dyDescent="0.3">
      <c r="A442" s="34"/>
      <c r="B442" s="34"/>
      <c r="C442" s="34"/>
      <c r="D442" s="32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4.25" customHeight="1" x14ac:dyDescent="0.3">
      <c r="A443" s="34"/>
      <c r="B443" s="34"/>
      <c r="C443" s="34"/>
      <c r="D443" s="32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4.25" customHeight="1" x14ac:dyDescent="0.3">
      <c r="A444" s="34"/>
      <c r="B444" s="34"/>
      <c r="C444" s="34"/>
      <c r="D444" s="32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4.25" customHeight="1" x14ac:dyDescent="0.3">
      <c r="A445" s="34"/>
      <c r="B445" s="34"/>
      <c r="C445" s="34"/>
      <c r="D445" s="32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4.25" customHeight="1" x14ac:dyDescent="0.3">
      <c r="A446" s="34"/>
      <c r="B446" s="34"/>
      <c r="C446" s="34"/>
      <c r="D446" s="32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4.25" customHeight="1" x14ac:dyDescent="0.3">
      <c r="A447" s="34"/>
      <c r="B447" s="34"/>
      <c r="C447" s="34"/>
      <c r="D447" s="32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4.25" customHeight="1" x14ac:dyDescent="0.3">
      <c r="A448" s="34"/>
      <c r="B448" s="34"/>
      <c r="C448" s="34"/>
      <c r="D448" s="32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4.25" customHeight="1" x14ac:dyDescent="0.3">
      <c r="A449" s="34"/>
      <c r="B449" s="34"/>
      <c r="C449" s="34"/>
      <c r="D449" s="32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4.25" customHeight="1" x14ac:dyDescent="0.3">
      <c r="A450" s="34"/>
      <c r="B450" s="34"/>
      <c r="C450" s="34"/>
      <c r="D450" s="32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4.25" customHeight="1" x14ac:dyDescent="0.3">
      <c r="A451" s="34"/>
      <c r="B451" s="34"/>
      <c r="C451" s="34"/>
      <c r="D451" s="32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4.25" customHeight="1" x14ac:dyDescent="0.3">
      <c r="A452" s="34"/>
      <c r="B452" s="34"/>
      <c r="C452" s="34"/>
      <c r="D452" s="32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4.25" customHeight="1" x14ac:dyDescent="0.3">
      <c r="A453" s="34"/>
      <c r="B453" s="34"/>
      <c r="C453" s="34"/>
      <c r="D453" s="32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4.25" customHeight="1" x14ac:dyDescent="0.3">
      <c r="A454" s="34"/>
      <c r="B454" s="34"/>
      <c r="C454" s="34"/>
      <c r="D454" s="32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4.25" customHeight="1" x14ac:dyDescent="0.3">
      <c r="A455" s="34"/>
      <c r="B455" s="34"/>
      <c r="C455" s="34"/>
      <c r="D455" s="32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4.25" customHeight="1" x14ac:dyDescent="0.3">
      <c r="A456" s="34"/>
      <c r="B456" s="34"/>
      <c r="C456" s="34"/>
      <c r="D456" s="32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4.25" customHeight="1" x14ac:dyDescent="0.3">
      <c r="A457" s="34"/>
      <c r="B457" s="34"/>
      <c r="C457" s="34"/>
      <c r="D457" s="32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4.25" customHeight="1" x14ac:dyDescent="0.3">
      <c r="A458" s="34"/>
      <c r="B458" s="34"/>
      <c r="C458" s="34"/>
      <c r="D458" s="32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4.25" customHeight="1" x14ac:dyDescent="0.3">
      <c r="A459" s="34"/>
      <c r="B459" s="34"/>
      <c r="C459" s="34"/>
      <c r="D459" s="32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4.25" customHeight="1" x14ac:dyDescent="0.3">
      <c r="A460" s="34"/>
      <c r="B460" s="34"/>
      <c r="C460" s="34"/>
      <c r="D460" s="32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4.25" customHeight="1" x14ac:dyDescent="0.3">
      <c r="A461" s="34"/>
      <c r="B461" s="34"/>
      <c r="C461" s="34"/>
      <c r="D461" s="32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4.25" customHeight="1" x14ac:dyDescent="0.3">
      <c r="A462" s="34"/>
      <c r="B462" s="34"/>
      <c r="C462" s="34"/>
      <c r="D462" s="32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4.25" customHeight="1" x14ac:dyDescent="0.3">
      <c r="A463" s="34"/>
      <c r="B463" s="34"/>
      <c r="C463" s="34"/>
      <c r="D463" s="32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4.25" customHeight="1" x14ac:dyDescent="0.3">
      <c r="A464" s="34"/>
      <c r="B464" s="34"/>
      <c r="C464" s="34"/>
      <c r="D464" s="32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4.25" customHeight="1" x14ac:dyDescent="0.3">
      <c r="A465" s="34"/>
      <c r="B465" s="34"/>
      <c r="C465" s="34"/>
      <c r="D465" s="32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4.25" customHeight="1" x14ac:dyDescent="0.3">
      <c r="A466" s="34"/>
      <c r="B466" s="34"/>
      <c r="C466" s="34"/>
      <c r="D466" s="32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4.25" customHeight="1" x14ac:dyDescent="0.3">
      <c r="A467" s="34"/>
      <c r="B467" s="34"/>
      <c r="C467" s="34"/>
      <c r="D467" s="32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4.25" customHeight="1" x14ac:dyDescent="0.3">
      <c r="A468" s="34"/>
      <c r="B468" s="34"/>
      <c r="C468" s="34"/>
      <c r="D468" s="32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4.25" customHeight="1" x14ac:dyDescent="0.3">
      <c r="A469" s="34"/>
      <c r="B469" s="34"/>
      <c r="C469" s="34"/>
      <c r="D469" s="32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4.25" customHeight="1" x14ac:dyDescent="0.3">
      <c r="A470" s="34"/>
      <c r="B470" s="34"/>
      <c r="C470" s="34"/>
      <c r="D470" s="32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4.25" customHeight="1" x14ac:dyDescent="0.3">
      <c r="A471" s="34"/>
      <c r="B471" s="34"/>
      <c r="C471" s="34"/>
      <c r="D471" s="32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4.25" customHeight="1" x14ac:dyDescent="0.3">
      <c r="A472" s="34"/>
      <c r="B472" s="34"/>
      <c r="C472" s="34"/>
      <c r="D472" s="32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4.25" customHeight="1" x14ac:dyDescent="0.3">
      <c r="A473" s="34"/>
      <c r="B473" s="34"/>
      <c r="C473" s="34"/>
      <c r="D473" s="32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4.25" customHeight="1" x14ac:dyDescent="0.3">
      <c r="A474" s="34"/>
      <c r="B474" s="34"/>
      <c r="C474" s="34"/>
      <c r="D474" s="32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4.25" customHeight="1" x14ac:dyDescent="0.3">
      <c r="A475" s="34"/>
      <c r="B475" s="34"/>
      <c r="C475" s="34"/>
      <c r="D475" s="32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4.25" customHeight="1" x14ac:dyDescent="0.3">
      <c r="A476" s="34"/>
      <c r="B476" s="34"/>
      <c r="C476" s="34"/>
      <c r="D476" s="32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4.25" customHeight="1" x14ac:dyDescent="0.3">
      <c r="A477" s="34"/>
      <c r="B477" s="34"/>
      <c r="C477" s="34"/>
      <c r="D477" s="32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4.25" customHeight="1" x14ac:dyDescent="0.3">
      <c r="A478" s="34"/>
      <c r="B478" s="34"/>
      <c r="C478" s="34"/>
      <c r="D478" s="32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4.25" customHeight="1" x14ac:dyDescent="0.3">
      <c r="A479" s="34"/>
      <c r="B479" s="34"/>
      <c r="C479" s="34"/>
      <c r="D479" s="32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4.25" customHeight="1" x14ac:dyDescent="0.3">
      <c r="A480" s="34"/>
      <c r="B480" s="34"/>
      <c r="C480" s="34"/>
      <c r="D480" s="32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4.25" customHeight="1" x14ac:dyDescent="0.3">
      <c r="A481" s="34"/>
      <c r="B481" s="34"/>
      <c r="C481" s="34"/>
      <c r="D481" s="32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4.25" customHeight="1" x14ac:dyDescent="0.3">
      <c r="A482" s="34"/>
      <c r="B482" s="34"/>
      <c r="C482" s="34"/>
      <c r="D482" s="32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4.25" customHeight="1" x14ac:dyDescent="0.3">
      <c r="A483" s="34"/>
      <c r="B483" s="34"/>
      <c r="C483" s="34"/>
      <c r="D483" s="32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4.25" customHeight="1" x14ac:dyDescent="0.3">
      <c r="A484" s="34"/>
      <c r="B484" s="34"/>
      <c r="C484" s="34"/>
      <c r="D484" s="32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4.25" customHeight="1" x14ac:dyDescent="0.3">
      <c r="A485" s="34"/>
      <c r="B485" s="34"/>
      <c r="C485" s="34"/>
      <c r="D485" s="32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4.25" customHeight="1" x14ac:dyDescent="0.3">
      <c r="A486" s="34"/>
      <c r="B486" s="34"/>
      <c r="C486" s="34"/>
      <c r="D486" s="32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4.25" customHeight="1" x14ac:dyDescent="0.3">
      <c r="A487" s="34"/>
      <c r="B487" s="34"/>
      <c r="C487" s="34"/>
      <c r="D487" s="32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4.25" customHeight="1" x14ac:dyDescent="0.3">
      <c r="A488" s="34"/>
      <c r="B488" s="34"/>
      <c r="C488" s="34"/>
      <c r="D488" s="32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4.25" customHeight="1" x14ac:dyDescent="0.3">
      <c r="A489" s="34"/>
      <c r="B489" s="34"/>
      <c r="C489" s="34"/>
      <c r="D489" s="32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4.25" customHeight="1" x14ac:dyDescent="0.3">
      <c r="A490" s="34"/>
      <c r="B490" s="34"/>
      <c r="C490" s="34"/>
      <c r="D490" s="32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4.25" customHeight="1" x14ac:dyDescent="0.3">
      <c r="A491" s="34"/>
      <c r="B491" s="34"/>
      <c r="C491" s="34"/>
      <c r="D491" s="32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4.25" customHeight="1" x14ac:dyDescent="0.3">
      <c r="A492" s="34"/>
      <c r="B492" s="34"/>
      <c r="C492" s="34"/>
      <c r="D492" s="32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4.25" customHeight="1" x14ac:dyDescent="0.3">
      <c r="A493" s="34"/>
      <c r="B493" s="34"/>
      <c r="C493" s="34"/>
      <c r="D493" s="32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4.25" customHeight="1" x14ac:dyDescent="0.3">
      <c r="A494" s="34"/>
      <c r="B494" s="34"/>
      <c r="C494" s="34"/>
      <c r="D494" s="32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4.25" customHeight="1" x14ac:dyDescent="0.3">
      <c r="A495" s="34"/>
      <c r="B495" s="34"/>
      <c r="C495" s="34"/>
      <c r="D495" s="32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4.25" customHeight="1" x14ac:dyDescent="0.3">
      <c r="A496" s="34"/>
      <c r="B496" s="34"/>
      <c r="C496" s="34"/>
      <c r="D496" s="32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4.25" customHeight="1" x14ac:dyDescent="0.3">
      <c r="A497" s="34"/>
      <c r="B497" s="34"/>
      <c r="C497" s="34"/>
      <c r="D497" s="32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4.25" customHeight="1" x14ac:dyDescent="0.3">
      <c r="A498" s="34"/>
      <c r="B498" s="34"/>
      <c r="C498" s="34"/>
      <c r="D498" s="32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4.25" customHeight="1" x14ac:dyDescent="0.3">
      <c r="A499" s="34"/>
      <c r="B499" s="34"/>
      <c r="C499" s="34"/>
      <c r="D499" s="32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4.25" customHeight="1" x14ac:dyDescent="0.3">
      <c r="A500" s="34"/>
      <c r="B500" s="34"/>
      <c r="C500" s="34"/>
      <c r="D500" s="32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4.25" customHeight="1" x14ac:dyDescent="0.3">
      <c r="A501" s="34"/>
      <c r="B501" s="34"/>
      <c r="C501" s="34"/>
      <c r="D501" s="32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4.25" customHeight="1" x14ac:dyDescent="0.3">
      <c r="A502" s="34"/>
      <c r="B502" s="34"/>
      <c r="C502" s="34"/>
      <c r="D502" s="32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4.25" customHeight="1" x14ac:dyDescent="0.3">
      <c r="A503" s="34"/>
      <c r="B503" s="34"/>
      <c r="C503" s="34"/>
      <c r="D503" s="32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4.25" customHeight="1" x14ac:dyDescent="0.3">
      <c r="A504" s="34"/>
      <c r="B504" s="34"/>
      <c r="C504" s="34"/>
      <c r="D504" s="32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4.25" customHeight="1" x14ac:dyDescent="0.3">
      <c r="A505" s="34"/>
      <c r="B505" s="34"/>
      <c r="C505" s="34"/>
      <c r="D505" s="32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4.25" customHeight="1" x14ac:dyDescent="0.3">
      <c r="A506" s="34"/>
      <c r="B506" s="34"/>
      <c r="C506" s="34"/>
      <c r="D506" s="32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4.25" customHeight="1" x14ac:dyDescent="0.3">
      <c r="A507" s="34"/>
      <c r="B507" s="34"/>
      <c r="C507" s="34"/>
      <c r="D507" s="32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4.25" customHeight="1" x14ac:dyDescent="0.3">
      <c r="A508" s="34"/>
      <c r="B508" s="34"/>
      <c r="C508" s="34"/>
      <c r="D508" s="32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4.25" customHeight="1" x14ac:dyDescent="0.3">
      <c r="A509" s="34"/>
      <c r="B509" s="34"/>
      <c r="C509" s="34"/>
      <c r="D509" s="32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4.25" customHeight="1" x14ac:dyDescent="0.3">
      <c r="A510" s="34"/>
      <c r="B510" s="34"/>
      <c r="C510" s="34"/>
      <c r="D510" s="32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4.25" customHeight="1" x14ac:dyDescent="0.3">
      <c r="A511" s="34"/>
      <c r="B511" s="34"/>
      <c r="C511" s="34"/>
      <c r="D511" s="32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4.25" customHeight="1" x14ac:dyDescent="0.3">
      <c r="A512" s="34"/>
      <c r="B512" s="34"/>
      <c r="C512" s="34"/>
      <c r="D512" s="32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4.25" customHeight="1" x14ac:dyDescent="0.3">
      <c r="A513" s="34"/>
      <c r="B513" s="34"/>
      <c r="C513" s="34"/>
      <c r="D513" s="32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4.25" customHeight="1" x14ac:dyDescent="0.3">
      <c r="A514" s="34"/>
      <c r="B514" s="34"/>
      <c r="C514" s="34"/>
      <c r="D514" s="32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4.25" customHeight="1" x14ac:dyDescent="0.3">
      <c r="A515" s="34"/>
      <c r="B515" s="34"/>
      <c r="C515" s="34"/>
      <c r="D515" s="32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4.25" customHeight="1" x14ac:dyDescent="0.3">
      <c r="A516" s="34"/>
      <c r="B516" s="34"/>
      <c r="C516" s="34"/>
      <c r="D516" s="32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4.25" customHeight="1" x14ac:dyDescent="0.3">
      <c r="A517" s="34"/>
      <c r="B517" s="34"/>
      <c r="C517" s="34"/>
      <c r="D517" s="32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4.25" customHeight="1" x14ac:dyDescent="0.3">
      <c r="A518" s="34"/>
      <c r="B518" s="34"/>
      <c r="C518" s="34"/>
      <c r="D518" s="32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4.25" customHeight="1" x14ac:dyDescent="0.3">
      <c r="A519" s="34"/>
      <c r="B519" s="34"/>
      <c r="C519" s="34"/>
      <c r="D519" s="32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4.25" customHeight="1" x14ac:dyDescent="0.3">
      <c r="A520" s="34"/>
      <c r="B520" s="34"/>
      <c r="C520" s="34"/>
      <c r="D520" s="32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4.25" customHeight="1" x14ac:dyDescent="0.3">
      <c r="A521" s="34"/>
      <c r="B521" s="34"/>
      <c r="C521" s="34"/>
      <c r="D521" s="32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4.25" customHeight="1" x14ac:dyDescent="0.3">
      <c r="A522" s="34"/>
      <c r="B522" s="34"/>
      <c r="C522" s="34"/>
      <c r="D522" s="32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4.25" customHeight="1" x14ac:dyDescent="0.3">
      <c r="A523" s="34"/>
      <c r="B523" s="34"/>
      <c r="C523" s="34"/>
      <c r="D523" s="32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4.25" customHeight="1" x14ac:dyDescent="0.3">
      <c r="A524" s="34"/>
      <c r="B524" s="34"/>
      <c r="C524" s="34"/>
      <c r="D524" s="32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4.25" customHeight="1" x14ac:dyDescent="0.3">
      <c r="A525" s="34"/>
      <c r="B525" s="34"/>
      <c r="C525" s="34"/>
      <c r="D525" s="32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4.25" customHeight="1" x14ac:dyDescent="0.3">
      <c r="A526" s="34"/>
      <c r="B526" s="34"/>
      <c r="C526" s="34"/>
      <c r="D526" s="32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4.25" customHeight="1" x14ac:dyDescent="0.3">
      <c r="A527" s="34"/>
      <c r="B527" s="34"/>
      <c r="C527" s="34"/>
      <c r="D527" s="32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4.25" customHeight="1" x14ac:dyDescent="0.3">
      <c r="A528" s="34"/>
      <c r="B528" s="34"/>
      <c r="C528" s="34"/>
      <c r="D528" s="32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4.25" customHeight="1" x14ac:dyDescent="0.3">
      <c r="A529" s="34"/>
      <c r="B529" s="34"/>
      <c r="C529" s="34"/>
      <c r="D529" s="32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4.25" customHeight="1" x14ac:dyDescent="0.3">
      <c r="A530" s="34"/>
      <c r="B530" s="34"/>
      <c r="C530" s="34"/>
      <c r="D530" s="32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4.25" customHeight="1" x14ac:dyDescent="0.3">
      <c r="A531" s="34"/>
      <c r="B531" s="34"/>
      <c r="C531" s="34"/>
      <c r="D531" s="32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4.25" customHeight="1" x14ac:dyDescent="0.3">
      <c r="A532" s="34"/>
      <c r="B532" s="34"/>
      <c r="C532" s="34"/>
      <c r="D532" s="32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4.25" customHeight="1" x14ac:dyDescent="0.3">
      <c r="A533" s="34"/>
      <c r="B533" s="34"/>
      <c r="C533" s="34"/>
      <c r="D533" s="32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4.25" customHeight="1" x14ac:dyDescent="0.3">
      <c r="A534" s="34"/>
      <c r="B534" s="34"/>
      <c r="C534" s="34"/>
      <c r="D534" s="32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4.25" customHeight="1" x14ac:dyDescent="0.3">
      <c r="A535" s="34"/>
      <c r="B535" s="34"/>
      <c r="C535" s="34"/>
      <c r="D535" s="32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4.25" customHeight="1" x14ac:dyDescent="0.3">
      <c r="A536" s="34"/>
      <c r="B536" s="34"/>
      <c r="C536" s="34"/>
      <c r="D536" s="32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4.25" customHeight="1" x14ac:dyDescent="0.3">
      <c r="A537" s="34"/>
      <c r="B537" s="34"/>
      <c r="C537" s="34"/>
      <c r="D537" s="32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4.25" customHeight="1" x14ac:dyDescent="0.3">
      <c r="A538" s="34"/>
      <c r="B538" s="34"/>
      <c r="C538" s="34"/>
      <c r="D538" s="32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4.25" customHeight="1" x14ac:dyDescent="0.3">
      <c r="A539" s="34"/>
      <c r="B539" s="34"/>
      <c r="C539" s="34"/>
      <c r="D539" s="32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4.25" customHeight="1" x14ac:dyDescent="0.3">
      <c r="A540" s="34"/>
      <c r="B540" s="34"/>
      <c r="C540" s="34"/>
      <c r="D540" s="32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4.25" customHeight="1" x14ac:dyDescent="0.3">
      <c r="A541" s="34"/>
      <c r="B541" s="34"/>
      <c r="C541" s="34"/>
      <c r="D541" s="32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4.25" customHeight="1" x14ac:dyDescent="0.3">
      <c r="A542" s="34"/>
      <c r="B542" s="34"/>
      <c r="C542" s="34"/>
      <c r="D542" s="32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4.25" customHeight="1" x14ac:dyDescent="0.3">
      <c r="A543" s="34"/>
      <c r="B543" s="34"/>
      <c r="C543" s="34"/>
      <c r="D543" s="32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4.25" customHeight="1" x14ac:dyDescent="0.3">
      <c r="A544" s="34"/>
      <c r="B544" s="34"/>
      <c r="C544" s="34"/>
      <c r="D544" s="32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4.25" customHeight="1" x14ac:dyDescent="0.3">
      <c r="A545" s="34"/>
      <c r="B545" s="34"/>
      <c r="C545" s="34"/>
      <c r="D545" s="32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4.25" customHeight="1" x14ac:dyDescent="0.3">
      <c r="A546" s="34"/>
      <c r="B546" s="34"/>
      <c r="C546" s="34"/>
      <c r="D546" s="32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4.25" customHeight="1" x14ac:dyDescent="0.3">
      <c r="A547" s="34"/>
      <c r="B547" s="34"/>
      <c r="C547" s="34"/>
      <c r="D547" s="32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4.25" customHeight="1" x14ac:dyDescent="0.3">
      <c r="A548" s="34"/>
      <c r="B548" s="34"/>
      <c r="C548" s="34"/>
      <c r="D548" s="32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4.25" customHeight="1" x14ac:dyDescent="0.3">
      <c r="A549" s="34"/>
      <c r="B549" s="34"/>
      <c r="C549" s="34"/>
      <c r="D549" s="32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4.25" customHeight="1" x14ac:dyDescent="0.3">
      <c r="A550" s="34"/>
      <c r="B550" s="34"/>
      <c r="C550" s="34"/>
      <c r="D550" s="32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4.25" customHeight="1" x14ac:dyDescent="0.3">
      <c r="A551" s="34"/>
      <c r="B551" s="34"/>
      <c r="C551" s="34"/>
      <c r="D551" s="32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4.25" customHeight="1" x14ac:dyDescent="0.3">
      <c r="A552" s="34"/>
      <c r="B552" s="34"/>
      <c r="C552" s="34"/>
      <c r="D552" s="32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4.25" customHeight="1" x14ac:dyDescent="0.3">
      <c r="A553" s="34"/>
      <c r="B553" s="34"/>
      <c r="C553" s="34"/>
      <c r="D553" s="32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4.25" customHeight="1" x14ac:dyDescent="0.3">
      <c r="A554" s="34"/>
      <c r="B554" s="34"/>
      <c r="C554" s="34"/>
      <c r="D554" s="32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4.25" customHeight="1" x14ac:dyDescent="0.3">
      <c r="A555" s="34"/>
      <c r="B555" s="34"/>
      <c r="C555" s="34"/>
      <c r="D555" s="32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4.25" customHeight="1" x14ac:dyDescent="0.3">
      <c r="A556" s="34"/>
      <c r="B556" s="34"/>
      <c r="C556" s="34"/>
      <c r="D556" s="32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4.25" customHeight="1" x14ac:dyDescent="0.3">
      <c r="A557" s="34"/>
      <c r="B557" s="34"/>
      <c r="C557" s="34"/>
      <c r="D557" s="32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4.25" customHeight="1" x14ac:dyDescent="0.3">
      <c r="A558" s="34"/>
      <c r="B558" s="34"/>
      <c r="C558" s="34"/>
      <c r="D558" s="32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4.25" customHeight="1" x14ac:dyDescent="0.3">
      <c r="A559" s="34"/>
      <c r="B559" s="34"/>
      <c r="C559" s="34"/>
      <c r="D559" s="32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4.25" customHeight="1" x14ac:dyDescent="0.3">
      <c r="A560" s="34"/>
      <c r="B560" s="34"/>
      <c r="C560" s="34"/>
      <c r="D560" s="32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4.25" customHeight="1" x14ac:dyDescent="0.3">
      <c r="A561" s="34"/>
      <c r="B561" s="34"/>
      <c r="C561" s="34"/>
      <c r="D561" s="32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4.25" customHeight="1" x14ac:dyDescent="0.3">
      <c r="A562" s="34"/>
      <c r="B562" s="34"/>
      <c r="C562" s="34"/>
      <c r="D562" s="32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4.25" customHeight="1" x14ac:dyDescent="0.3">
      <c r="A563" s="34"/>
      <c r="B563" s="34"/>
      <c r="C563" s="34"/>
      <c r="D563" s="32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4.25" customHeight="1" x14ac:dyDescent="0.3">
      <c r="A564" s="34"/>
      <c r="B564" s="34"/>
      <c r="C564" s="34"/>
      <c r="D564" s="32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4.25" customHeight="1" x14ac:dyDescent="0.3">
      <c r="A565" s="34"/>
      <c r="B565" s="34"/>
      <c r="C565" s="34"/>
      <c r="D565" s="32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4.25" customHeight="1" x14ac:dyDescent="0.3">
      <c r="A566" s="34"/>
      <c r="B566" s="34"/>
      <c r="C566" s="34"/>
      <c r="D566" s="32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4.25" customHeight="1" x14ac:dyDescent="0.3">
      <c r="A567" s="34"/>
      <c r="B567" s="34"/>
      <c r="C567" s="34"/>
      <c r="D567" s="32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4.25" customHeight="1" x14ac:dyDescent="0.3">
      <c r="A568" s="34"/>
      <c r="B568" s="34"/>
      <c r="C568" s="34"/>
      <c r="D568" s="32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4.25" customHeight="1" x14ac:dyDescent="0.3">
      <c r="A569" s="34"/>
      <c r="B569" s="34"/>
      <c r="C569" s="34"/>
      <c r="D569" s="32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4.25" customHeight="1" x14ac:dyDescent="0.3">
      <c r="A570" s="34"/>
      <c r="B570" s="34"/>
      <c r="C570" s="34"/>
      <c r="D570" s="32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4.25" customHeight="1" x14ac:dyDescent="0.3">
      <c r="A571" s="34"/>
      <c r="B571" s="34"/>
      <c r="C571" s="34"/>
      <c r="D571" s="32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4.25" customHeight="1" x14ac:dyDescent="0.3">
      <c r="A572" s="34"/>
      <c r="B572" s="34"/>
      <c r="C572" s="34"/>
      <c r="D572" s="32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4.25" customHeight="1" x14ac:dyDescent="0.3">
      <c r="A573" s="34"/>
      <c r="B573" s="34"/>
      <c r="C573" s="34"/>
      <c r="D573" s="32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4.25" customHeight="1" x14ac:dyDescent="0.3">
      <c r="A574" s="34"/>
      <c r="B574" s="34"/>
      <c r="C574" s="34"/>
      <c r="D574" s="32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4.25" customHeight="1" x14ac:dyDescent="0.3">
      <c r="A575" s="34"/>
      <c r="B575" s="34"/>
      <c r="C575" s="34"/>
      <c r="D575" s="32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4.25" customHeight="1" x14ac:dyDescent="0.3">
      <c r="A576" s="34"/>
      <c r="B576" s="34"/>
      <c r="C576" s="34"/>
      <c r="D576" s="32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4.25" customHeight="1" x14ac:dyDescent="0.3">
      <c r="A577" s="34"/>
      <c r="B577" s="34"/>
      <c r="C577" s="34"/>
      <c r="D577" s="32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4.25" customHeight="1" x14ac:dyDescent="0.3">
      <c r="A578" s="34"/>
      <c r="B578" s="34"/>
      <c r="C578" s="34"/>
      <c r="D578" s="32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4.25" customHeight="1" x14ac:dyDescent="0.3">
      <c r="A579" s="34"/>
      <c r="B579" s="34"/>
      <c r="C579" s="34"/>
      <c r="D579" s="32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4.25" customHeight="1" x14ac:dyDescent="0.3">
      <c r="A580" s="34"/>
      <c r="B580" s="34"/>
      <c r="C580" s="34"/>
      <c r="D580" s="32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4.25" customHeight="1" x14ac:dyDescent="0.3">
      <c r="A581" s="34"/>
      <c r="B581" s="34"/>
      <c r="C581" s="34"/>
      <c r="D581" s="32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4.25" customHeight="1" x14ac:dyDescent="0.3">
      <c r="A582" s="34"/>
      <c r="B582" s="34"/>
      <c r="C582" s="34"/>
      <c r="D582" s="32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4.25" customHeight="1" x14ac:dyDescent="0.3">
      <c r="A583" s="34"/>
      <c r="B583" s="34"/>
      <c r="C583" s="34"/>
      <c r="D583" s="32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4.25" customHeight="1" x14ac:dyDescent="0.3">
      <c r="A584" s="34"/>
      <c r="B584" s="34"/>
      <c r="C584" s="34"/>
      <c r="D584" s="32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4.25" customHeight="1" x14ac:dyDescent="0.3">
      <c r="A585" s="34"/>
      <c r="B585" s="34"/>
      <c r="C585" s="34"/>
      <c r="D585" s="32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4.25" customHeight="1" x14ac:dyDescent="0.3">
      <c r="A586" s="34"/>
      <c r="B586" s="34"/>
      <c r="C586" s="34"/>
      <c r="D586" s="32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4.25" customHeight="1" x14ac:dyDescent="0.3">
      <c r="A587" s="34"/>
      <c r="B587" s="34"/>
      <c r="C587" s="34"/>
      <c r="D587" s="32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4.25" customHeight="1" x14ac:dyDescent="0.3">
      <c r="A588" s="34"/>
      <c r="B588" s="34"/>
      <c r="C588" s="34"/>
      <c r="D588" s="32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4.25" customHeight="1" x14ac:dyDescent="0.3">
      <c r="A589" s="34"/>
      <c r="B589" s="34"/>
      <c r="C589" s="34"/>
      <c r="D589" s="32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4.25" customHeight="1" x14ac:dyDescent="0.3">
      <c r="A590" s="34"/>
      <c r="B590" s="34"/>
      <c r="C590" s="34"/>
      <c r="D590" s="32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4.25" customHeight="1" x14ac:dyDescent="0.3">
      <c r="A591" s="34"/>
      <c r="B591" s="34"/>
      <c r="C591" s="34"/>
      <c r="D591" s="32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4.25" customHeight="1" x14ac:dyDescent="0.3">
      <c r="A592" s="34"/>
      <c r="B592" s="34"/>
      <c r="C592" s="34"/>
      <c r="D592" s="32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4.25" customHeight="1" x14ac:dyDescent="0.3">
      <c r="A593" s="34"/>
      <c r="B593" s="34"/>
      <c r="C593" s="34"/>
      <c r="D593" s="32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4.25" customHeight="1" x14ac:dyDescent="0.3">
      <c r="A594" s="34"/>
      <c r="B594" s="34"/>
      <c r="C594" s="34"/>
      <c r="D594" s="32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4.25" customHeight="1" x14ac:dyDescent="0.3">
      <c r="A595" s="34"/>
      <c r="B595" s="34"/>
      <c r="C595" s="34"/>
      <c r="D595" s="32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4.25" customHeight="1" x14ac:dyDescent="0.3">
      <c r="A596" s="34"/>
      <c r="B596" s="34"/>
      <c r="C596" s="34"/>
      <c r="D596" s="32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4.25" customHeight="1" x14ac:dyDescent="0.3">
      <c r="A597" s="34"/>
      <c r="B597" s="34"/>
      <c r="C597" s="34"/>
      <c r="D597" s="32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4.25" customHeight="1" x14ac:dyDescent="0.3">
      <c r="A598" s="34"/>
      <c r="B598" s="34"/>
      <c r="C598" s="34"/>
      <c r="D598" s="32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4.25" customHeight="1" x14ac:dyDescent="0.3">
      <c r="A599" s="34"/>
      <c r="B599" s="34"/>
      <c r="C599" s="34"/>
      <c r="D599" s="32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4.25" customHeight="1" x14ac:dyDescent="0.3">
      <c r="A600" s="34"/>
      <c r="B600" s="34"/>
      <c r="C600" s="34"/>
      <c r="D600" s="32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4.25" customHeight="1" x14ac:dyDescent="0.3">
      <c r="A601" s="34"/>
      <c r="B601" s="34"/>
      <c r="C601" s="34"/>
      <c r="D601" s="32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4.25" customHeight="1" x14ac:dyDescent="0.3">
      <c r="A602" s="34"/>
      <c r="B602" s="34"/>
      <c r="C602" s="34"/>
      <c r="D602" s="32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4.25" customHeight="1" x14ac:dyDescent="0.3">
      <c r="A603" s="34"/>
      <c r="B603" s="34"/>
      <c r="C603" s="34"/>
      <c r="D603" s="32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4.25" customHeight="1" x14ac:dyDescent="0.3">
      <c r="A604" s="34"/>
      <c r="B604" s="34"/>
      <c r="C604" s="34"/>
      <c r="D604" s="32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4.25" customHeight="1" x14ac:dyDescent="0.3">
      <c r="A605" s="34"/>
      <c r="B605" s="34"/>
      <c r="C605" s="34"/>
      <c r="D605" s="32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4.25" customHeight="1" x14ac:dyDescent="0.3">
      <c r="A606" s="34"/>
      <c r="B606" s="34"/>
      <c r="C606" s="34"/>
      <c r="D606" s="32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4.25" customHeight="1" x14ac:dyDescent="0.3">
      <c r="A607" s="34"/>
      <c r="B607" s="34"/>
      <c r="C607" s="34"/>
      <c r="D607" s="32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4.25" customHeight="1" x14ac:dyDescent="0.3">
      <c r="A608" s="34"/>
      <c r="B608" s="34"/>
      <c r="C608" s="34"/>
      <c r="D608" s="32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4.25" customHeight="1" x14ac:dyDescent="0.3">
      <c r="A609" s="34"/>
      <c r="B609" s="34"/>
      <c r="C609" s="34"/>
      <c r="D609" s="32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4.25" customHeight="1" x14ac:dyDescent="0.3">
      <c r="A610" s="34"/>
      <c r="B610" s="34"/>
      <c r="C610" s="34"/>
      <c r="D610" s="32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4.25" customHeight="1" x14ac:dyDescent="0.3">
      <c r="A611" s="34"/>
      <c r="B611" s="34"/>
      <c r="C611" s="34"/>
      <c r="D611" s="32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4.25" customHeight="1" x14ac:dyDescent="0.3">
      <c r="A612" s="34"/>
      <c r="B612" s="34"/>
      <c r="C612" s="34"/>
      <c r="D612" s="32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4.25" customHeight="1" x14ac:dyDescent="0.3">
      <c r="A613" s="34"/>
      <c r="B613" s="34"/>
      <c r="C613" s="34"/>
      <c r="D613" s="32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4.25" customHeight="1" x14ac:dyDescent="0.3">
      <c r="A614" s="34"/>
      <c r="B614" s="34"/>
      <c r="C614" s="34"/>
      <c r="D614" s="32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4.25" customHeight="1" x14ac:dyDescent="0.3">
      <c r="A615" s="34"/>
      <c r="B615" s="34"/>
      <c r="C615" s="34"/>
      <c r="D615" s="32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4.25" customHeight="1" x14ac:dyDescent="0.3">
      <c r="A616" s="34"/>
      <c r="B616" s="34"/>
      <c r="C616" s="34"/>
      <c r="D616" s="32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4.25" customHeight="1" x14ac:dyDescent="0.3">
      <c r="A617" s="34"/>
      <c r="B617" s="34"/>
      <c r="C617" s="34"/>
      <c r="D617" s="32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4.25" customHeight="1" x14ac:dyDescent="0.3">
      <c r="A618" s="34"/>
      <c r="B618" s="34"/>
      <c r="C618" s="34"/>
      <c r="D618" s="32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4.25" customHeight="1" x14ac:dyDescent="0.3">
      <c r="A619" s="34"/>
      <c r="B619" s="34"/>
      <c r="C619" s="34"/>
      <c r="D619" s="32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4.25" customHeight="1" x14ac:dyDescent="0.3">
      <c r="A620" s="34"/>
      <c r="B620" s="34"/>
      <c r="C620" s="34"/>
      <c r="D620" s="32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4.25" customHeight="1" x14ac:dyDescent="0.3">
      <c r="A621" s="34"/>
      <c r="B621" s="34"/>
      <c r="C621" s="34"/>
      <c r="D621" s="32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4.25" customHeight="1" x14ac:dyDescent="0.3">
      <c r="A622" s="34"/>
      <c r="B622" s="34"/>
      <c r="C622" s="34"/>
      <c r="D622" s="32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4.25" customHeight="1" x14ac:dyDescent="0.3">
      <c r="A623" s="34"/>
      <c r="B623" s="34"/>
      <c r="C623" s="34"/>
      <c r="D623" s="32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4.25" customHeight="1" x14ac:dyDescent="0.3">
      <c r="A624" s="34"/>
      <c r="B624" s="34"/>
      <c r="C624" s="34"/>
      <c r="D624" s="32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4.25" customHeight="1" x14ac:dyDescent="0.3">
      <c r="A625" s="34"/>
      <c r="B625" s="34"/>
      <c r="C625" s="34"/>
      <c r="D625" s="32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4.25" customHeight="1" x14ac:dyDescent="0.3">
      <c r="A626" s="34"/>
      <c r="B626" s="34"/>
      <c r="C626" s="34"/>
      <c r="D626" s="32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4.25" customHeight="1" x14ac:dyDescent="0.3">
      <c r="A627" s="34"/>
      <c r="B627" s="34"/>
      <c r="C627" s="34"/>
      <c r="D627" s="32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4.25" customHeight="1" x14ac:dyDescent="0.3">
      <c r="A628" s="34"/>
      <c r="B628" s="34"/>
      <c r="C628" s="34"/>
      <c r="D628" s="32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4.25" customHeight="1" x14ac:dyDescent="0.3">
      <c r="A629" s="34"/>
      <c r="B629" s="34"/>
      <c r="C629" s="34"/>
      <c r="D629" s="32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4.25" customHeight="1" x14ac:dyDescent="0.3">
      <c r="A630" s="34"/>
      <c r="B630" s="34"/>
      <c r="C630" s="34"/>
      <c r="D630" s="32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4.25" customHeight="1" x14ac:dyDescent="0.3">
      <c r="A631" s="34"/>
      <c r="B631" s="34"/>
      <c r="C631" s="34"/>
      <c r="D631" s="32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4.25" customHeight="1" x14ac:dyDescent="0.3">
      <c r="A632" s="34"/>
      <c r="B632" s="34"/>
      <c r="C632" s="34"/>
      <c r="D632" s="32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4.25" customHeight="1" x14ac:dyDescent="0.3">
      <c r="A633" s="34"/>
      <c r="B633" s="34"/>
      <c r="C633" s="34"/>
      <c r="D633" s="32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4.25" customHeight="1" x14ac:dyDescent="0.3">
      <c r="A634" s="34"/>
      <c r="B634" s="34"/>
      <c r="C634" s="34"/>
      <c r="D634" s="32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4.25" customHeight="1" x14ac:dyDescent="0.3">
      <c r="A635" s="34"/>
      <c r="B635" s="34"/>
      <c r="C635" s="34"/>
      <c r="D635" s="32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4.25" customHeight="1" x14ac:dyDescent="0.3">
      <c r="A636" s="34"/>
      <c r="B636" s="34"/>
      <c r="C636" s="34"/>
      <c r="D636" s="32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4.25" customHeight="1" x14ac:dyDescent="0.3">
      <c r="A637" s="34"/>
      <c r="B637" s="34"/>
      <c r="C637" s="34"/>
      <c r="D637" s="32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4.25" customHeight="1" x14ac:dyDescent="0.3">
      <c r="A638" s="34"/>
      <c r="B638" s="34"/>
      <c r="C638" s="34"/>
      <c r="D638" s="32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4.25" customHeight="1" x14ac:dyDescent="0.3">
      <c r="A639" s="34"/>
      <c r="B639" s="34"/>
      <c r="C639" s="34"/>
      <c r="D639" s="32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4.25" customHeight="1" x14ac:dyDescent="0.3">
      <c r="A640" s="34"/>
      <c r="B640" s="34"/>
      <c r="C640" s="34"/>
      <c r="D640" s="32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4.25" customHeight="1" x14ac:dyDescent="0.3">
      <c r="A641" s="34"/>
      <c r="B641" s="34"/>
      <c r="C641" s="34"/>
      <c r="D641" s="32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4.25" customHeight="1" x14ac:dyDescent="0.3">
      <c r="A642" s="34"/>
      <c r="B642" s="34"/>
      <c r="C642" s="34"/>
      <c r="D642" s="32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4.25" customHeight="1" x14ac:dyDescent="0.3">
      <c r="A643" s="34"/>
      <c r="B643" s="34"/>
      <c r="C643" s="34"/>
      <c r="D643" s="32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4.25" customHeight="1" x14ac:dyDescent="0.3">
      <c r="A644" s="34"/>
      <c r="B644" s="34"/>
      <c r="C644" s="34"/>
      <c r="D644" s="32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4.25" customHeight="1" x14ac:dyDescent="0.3">
      <c r="A645" s="34"/>
      <c r="B645" s="34"/>
      <c r="C645" s="34"/>
      <c r="D645" s="32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4.25" customHeight="1" x14ac:dyDescent="0.3">
      <c r="A646" s="34"/>
      <c r="B646" s="34"/>
      <c r="C646" s="34"/>
      <c r="D646" s="32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4.25" customHeight="1" x14ac:dyDescent="0.3">
      <c r="A647" s="34"/>
      <c r="B647" s="34"/>
      <c r="C647" s="34"/>
      <c r="D647" s="32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4.25" customHeight="1" x14ac:dyDescent="0.3">
      <c r="A648" s="34"/>
      <c r="B648" s="34"/>
      <c r="C648" s="34"/>
      <c r="D648" s="32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4.25" customHeight="1" x14ac:dyDescent="0.3">
      <c r="A649" s="34"/>
      <c r="B649" s="34"/>
      <c r="C649" s="34"/>
      <c r="D649" s="32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4.25" customHeight="1" x14ac:dyDescent="0.3">
      <c r="A650" s="34"/>
      <c r="B650" s="34"/>
      <c r="C650" s="34"/>
      <c r="D650" s="32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4.25" customHeight="1" x14ac:dyDescent="0.3">
      <c r="A651" s="34"/>
      <c r="B651" s="34"/>
      <c r="C651" s="34"/>
      <c r="D651" s="32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4.25" customHeight="1" x14ac:dyDescent="0.3">
      <c r="A652" s="34"/>
      <c r="B652" s="34"/>
      <c r="C652" s="34"/>
      <c r="D652" s="32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4.25" customHeight="1" x14ac:dyDescent="0.3">
      <c r="A653" s="34"/>
      <c r="B653" s="34"/>
      <c r="C653" s="34"/>
      <c r="D653" s="32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4.25" customHeight="1" x14ac:dyDescent="0.3">
      <c r="A654" s="34"/>
      <c r="B654" s="34"/>
      <c r="C654" s="34"/>
      <c r="D654" s="32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4.25" customHeight="1" x14ac:dyDescent="0.3">
      <c r="A655" s="34"/>
      <c r="B655" s="34"/>
      <c r="C655" s="34"/>
      <c r="D655" s="32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4.25" customHeight="1" x14ac:dyDescent="0.3">
      <c r="A656" s="34"/>
      <c r="B656" s="34"/>
      <c r="C656" s="34"/>
      <c r="D656" s="32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4.25" customHeight="1" x14ac:dyDescent="0.3">
      <c r="A657" s="34"/>
      <c r="B657" s="34"/>
      <c r="C657" s="34"/>
      <c r="D657" s="32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4.25" customHeight="1" x14ac:dyDescent="0.3">
      <c r="A658" s="34"/>
      <c r="B658" s="34"/>
      <c r="C658" s="34"/>
      <c r="D658" s="32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4.25" customHeight="1" x14ac:dyDescent="0.3">
      <c r="A659" s="34"/>
      <c r="B659" s="34"/>
      <c r="C659" s="34"/>
      <c r="D659" s="32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4.25" customHeight="1" x14ac:dyDescent="0.3">
      <c r="A660" s="34"/>
      <c r="B660" s="34"/>
      <c r="C660" s="34"/>
      <c r="D660" s="32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4.25" customHeight="1" x14ac:dyDescent="0.3">
      <c r="A661" s="34"/>
      <c r="B661" s="34"/>
      <c r="C661" s="34"/>
      <c r="D661" s="32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4.25" customHeight="1" x14ac:dyDescent="0.3">
      <c r="A662" s="34"/>
      <c r="B662" s="34"/>
      <c r="C662" s="34"/>
      <c r="D662" s="32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4.25" customHeight="1" x14ac:dyDescent="0.3">
      <c r="A663" s="34"/>
      <c r="B663" s="34"/>
      <c r="C663" s="34"/>
      <c r="D663" s="32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4.25" customHeight="1" x14ac:dyDescent="0.3">
      <c r="A664" s="34"/>
      <c r="B664" s="34"/>
      <c r="C664" s="34"/>
      <c r="D664" s="32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4.25" customHeight="1" x14ac:dyDescent="0.3">
      <c r="A665" s="34"/>
      <c r="B665" s="34"/>
      <c r="C665" s="34"/>
      <c r="D665" s="32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4.25" customHeight="1" x14ac:dyDescent="0.3">
      <c r="A666" s="34"/>
      <c r="B666" s="34"/>
      <c r="C666" s="34"/>
      <c r="D666" s="32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4.25" customHeight="1" x14ac:dyDescent="0.3">
      <c r="A667" s="34"/>
      <c r="B667" s="34"/>
      <c r="C667" s="34"/>
      <c r="D667" s="32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4.25" customHeight="1" x14ac:dyDescent="0.3">
      <c r="A668" s="34"/>
      <c r="B668" s="34"/>
      <c r="C668" s="34"/>
      <c r="D668" s="32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4.25" customHeight="1" x14ac:dyDescent="0.3">
      <c r="A669" s="34"/>
      <c r="B669" s="34"/>
      <c r="C669" s="34"/>
      <c r="D669" s="32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4.25" customHeight="1" x14ac:dyDescent="0.3">
      <c r="A670" s="34"/>
      <c r="B670" s="34"/>
      <c r="C670" s="34"/>
      <c r="D670" s="32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4.25" customHeight="1" x14ac:dyDescent="0.3">
      <c r="A671" s="34"/>
      <c r="B671" s="34"/>
      <c r="C671" s="34"/>
      <c r="D671" s="32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4.25" customHeight="1" x14ac:dyDescent="0.3">
      <c r="A672" s="34"/>
      <c r="B672" s="34"/>
      <c r="C672" s="34"/>
      <c r="D672" s="32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4.25" customHeight="1" x14ac:dyDescent="0.3">
      <c r="A673" s="34"/>
      <c r="B673" s="34"/>
      <c r="C673" s="34"/>
      <c r="D673" s="32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4.25" customHeight="1" x14ac:dyDescent="0.3">
      <c r="A674" s="34"/>
      <c r="B674" s="34"/>
      <c r="C674" s="34"/>
      <c r="D674" s="32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4.25" customHeight="1" x14ac:dyDescent="0.3">
      <c r="A675" s="34"/>
      <c r="B675" s="34"/>
      <c r="C675" s="34"/>
      <c r="D675" s="32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4.25" customHeight="1" x14ac:dyDescent="0.3">
      <c r="A676" s="34"/>
      <c r="B676" s="34"/>
      <c r="C676" s="34"/>
      <c r="D676" s="32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4.25" customHeight="1" x14ac:dyDescent="0.3">
      <c r="A677" s="34"/>
      <c r="B677" s="34"/>
      <c r="C677" s="34"/>
      <c r="D677" s="32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4.25" customHeight="1" x14ac:dyDescent="0.3">
      <c r="A678" s="34"/>
      <c r="B678" s="34"/>
      <c r="C678" s="34"/>
      <c r="D678" s="32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4.25" customHeight="1" x14ac:dyDescent="0.3">
      <c r="A679" s="34"/>
      <c r="B679" s="34"/>
      <c r="C679" s="34"/>
      <c r="D679" s="32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4.25" customHeight="1" x14ac:dyDescent="0.3">
      <c r="A680" s="34"/>
      <c r="B680" s="34"/>
      <c r="C680" s="34"/>
      <c r="D680" s="32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4.25" customHeight="1" x14ac:dyDescent="0.3">
      <c r="A681" s="34"/>
      <c r="B681" s="34"/>
      <c r="C681" s="34"/>
      <c r="D681" s="32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4.25" customHeight="1" x14ac:dyDescent="0.3">
      <c r="A682" s="34"/>
      <c r="B682" s="34"/>
      <c r="C682" s="34"/>
      <c r="D682" s="32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4.25" customHeight="1" x14ac:dyDescent="0.3">
      <c r="A683" s="34"/>
      <c r="B683" s="34"/>
      <c r="C683" s="34"/>
      <c r="D683" s="32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4.25" customHeight="1" x14ac:dyDescent="0.3">
      <c r="A684" s="34"/>
      <c r="B684" s="34"/>
      <c r="C684" s="34"/>
      <c r="D684" s="32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4.25" customHeight="1" x14ac:dyDescent="0.3">
      <c r="A685" s="34"/>
      <c r="B685" s="34"/>
      <c r="C685" s="34"/>
      <c r="D685" s="32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4.25" customHeight="1" x14ac:dyDescent="0.3">
      <c r="A686" s="34"/>
      <c r="B686" s="34"/>
      <c r="C686" s="34"/>
      <c r="D686" s="32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4.25" customHeight="1" x14ac:dyDescent="0.3">
      <c r="A687" s="34"/>
      <c r="B687" s="34"/>
      <c r="C687" s="34"/>
      <c r="D687" s="32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4.25" customHeight="1" x14ac:dyDescent="0.3">
      <c r="A688" s="34"/>
      <c r="B688" s="34"/>
      <c r="C688" s="34"/>
      <c r="D688" s="32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4.25" customHeight="1" x14ac:dyDescent="0.3">
      <c r="A689" s="34"/>
      <c r="B689" s="34"/>
      <c r="C689" s="34"/>
      <c r="D689" s="32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4.25" customHeight="1" x14ac:dyDescent="0.3">
      <c r="A690" s="34"/>
      <c r="B690" s="34"/>
      <c r="C690" s="34"/>
      <c r="D690" s="32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4.25" customHeight="1" x14ac:dyDescent="0.3">
      <c r="A691" s="34"/>
      <c r="B691" s="34"/>
      <c r="C691" s="34"/>
      <c r="D691" s="32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4.25" customHeight="1" x14ac:dyDescent="0.3">
      <c r="A692" s="34"/>
      <c r="B692" s="34"/>
      <c r="C692" s="34"/>
      <c r="D692" s="32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4.25" customHeight="1" x14ac:dyDescent="0.3">
      <c r="A693" s="34"/>
      <c r="B693" s="34"/>
      <c r="C693" s="34"/>
      <c r="D693" s="32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4.25" customHeight="1" x14ac:dyDescent="0.3">
      <c r="A694" s="34"/>
      <c r="B694" s="34"/>
      <c r="C694" s="34"/>
      <c r="D694" s="32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4.25" customHeight="1" x14ac:dyDescent="0.3">
      <c r="A695" s="34"/>
      <c r="B695" s="34"/>
      <c r="C695" s="34"/>
      <c r="D695" s="32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4.25" customHeight="1" x14ac:dyDescent="0.3">
      <c r="A696" s="34"/>
      <c r="B696" s="34"/>
      <c r="C696" s="34"/>
      <c r="D696" s="32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4.25" customHeight="1" x14ac:dyDescent="0.3">
      <c r="A697" s="34"/>
      <c r="B697" s="34"/>
      <c r="C697" s="34"/>
      <c r="D697" s="32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4.25" customHeight="1" x14ac:dyDescent="0.3">
      <c r="A698" s="34"/>
      <c r="B698" s="34"/>
      <c r="C698" s="34"/>
      <c r="D698" s="32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4.25" customHeight="1" x14ac:dyDescent="0.3">
      <c r="A699" s="34"/>
      <c r="B699" s="34"/>
      <c r="C699" s="34"/>
      <c r="D699" s="32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4.25" customHeight="1" x14ac:dyDescent="0.3">
      <c r="A700" s="34"/>
      <c r="B700" s="34"/>
      <c r="C700" s="34"/>
      <c r="D700" s="32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4.25" customHeight="1" x14ac:dyDescent="0.3">
      <c r="A701" s="34"/>
      <c r="B701" s="34"/>
      <c r="C701" s="34"/>
      <c r="D701" s="32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4.25" customHeight="1" x14ac:dyDescent="0.3">
      <c r="A702" s="34"/>
      <c r="B702" s="34"/>
      <c r="C702" s="34"/>
      <c r="D702" s="32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4.25" customHeight="1" x14ac:dyDescent="0.3">
      <c r="A703" s="34"/>
      <c r="B703" s="34"/>
      <c r="C703" s="34"/>
      <c r="D703" s="32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4.25" customHeight="1" x14ac:dyDescent="0.3">
      <c r="A704" s="34"/>
      <c r="B704" s="34"/>
      <c r="C704" s="34"/>
      <c r="D704" s="32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4.25" customHeight="1" x14ac:dyDescent="0.3">
      <c r="A705" s="34"/>
      <c r="B705" s="34"/>
      <c r="C705" s="34"/>
      <c r="D705" s="32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4.25" customHeight="1" x14ac:dyDescent="0.3">
      <c r="A706" s="34"/>
      <c r="B706" s="34"/>
      <c r="C706" s="34"/>
      <c r="D706" s="32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4.25" customHeight="1" x14ac:dyDescent="0.3">
      <c r="A707" s="34"/>
      <c r="B707" s="34"/>
      <c r="C707" s="34"/>
      <c r="D707" s="32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4.25" customHeight="1" x14ac:dyDescent="0.3">
      <c r="A708" s="34"/>
      <c r="B708" s="34"/>
      <c r="C708" s="34"/>
      <c r="D708" s="32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4.25" customHeight="1" x14ac:dyDescent="0.3">
      <c r="A709" s="34"/>
      <c r="B709" s="34"/>
      <c r="C709" s="34"/>
      <c r="D709" s="32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4.25" customHeight="1" x14ac:dyDescent="0.3">
      <c r="A710" s="34"/>
      <c r="B710" s="34"/>
      <c r="C710" s="34"/>
      <c r="D710" s="32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4.25" customHeight="1" x14ac:dyDescent="0.3">
      <c r="A711" s="34"/>
      <c r="B711" s="34"/>
      <c r="C711" s="34"/>
      <c r="D711" s="32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4.25" customHeight="1" x14ac:dyDescent="0.3">
      <c r="A712" s="34"/>
      <c r="B712" s="34"/>
      <c r="C712" s="34"/>
      <c r="D712" s="32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4.25" customHeight="1" x14ac:dyDescent="0.3">
      <c r="A713" s="34"/>
      <c r="B713" s="34"/>
      <c r="C713" s="34"/>
      <c r="D713" s="32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4.25" customHeight="1" x14ac:dyDescent="0.3">
      <c r="A714" s="34"/>
      <c r="B714" s="34"/>
      <c r="C714" s="34"/>
      <c r="D714" s="32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4.25" customHeight="1" x14ac:dyDescent="0.3">
      <c r="A715" s="34"/>
      <c r="B715" s="34"/>
      <c r="C715" s="34"/>
      <c r="D715" s="32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4.25" customHeight="1" x14ac:dyDescent="0.3">
      <c r="A716" s="34"/>
      <c r="B716" s="34"/>
      <c r="C716" s="34"/>
      <c r="D716" s="32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4.25" customHeight="1" x14ac:dyDescent="0.3">
      <c r="A717" s="34"/>
      <c r="B717" s="34"/>
      <c r="C717" s="34"/>
      <c r="D717" s="32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4.25" customHeight="1" x14ac:dyDescent="0.3">
      <c r="A718" s="34"/>
      <c r="B718" s="34"/>
      <c r="C718" s="34"/>
      <c r="D718" s="32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4.25" customHeight="1" x14ac:dyDescent="0.3">
      <c r="A719" s="34"/>
      <c r="B719" s="34"/>
      <c r="C719" s="34"/>
      <c r="D719" s="32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4.25" customHeight="1" x14ac:dyDescent="0.3">
      <c r="A720" s="34"/>
      <c r="B720" s="34"/>
      <c r="C720" s="34"/>
      <c r="D720" s="32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4.25" customHeight="1" x14ac:dyDescent="0.3">
      <c r="A721" s="34"/>
      <c r="B721" s="34"/>
      <c r="C721" s="34"/>
      <c r="D721" s="32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4.25" customHeight="1" x14ac:dyDescent="0.3">
      <c r="A722" s="34"/>
      <c r="B722" s="34"/>
      <c r="C722" s="34"/>
      <c r="D722" s="32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4.25" customHeight="1" x14ac:dyDescent="0.3">
      <c r="A723" s="34"/>
      <c r="B723" s="34"/>
      <c r="C723" s="34"/>
      <c r="D723" s="32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4.25" customHeight="1" x14ac:dyDescent="0.3">
      <c r="A724" s="34"/>
      <c r="B724" s="34"/>
      <c r="C724" s="34"/>
      <c r="D724" s="32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4.25" customHeight="1" x14ac:dyDescent="0.3">
      <c r="A725" s="34"/>
      <c r="B725" s="34"/>
      <c r="C725" s="34"/>
      <c r="D725" s="32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4.25" customHeight="1" x14ac:dyDescent="0.3">
      <c r="A726" s="34"/>
      <c r="B726" s="34"/>
      <c r="C726" s="34"/>
      <c r="D726" s="32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4.25" customHeight="1" x14ac:dyDescent="0.3">
      <c r="A727" s="34"/>
      <c r="B727" s="34"/>
      <c r="C727" s="34"/>
      <c r="D727" s="32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4.25" customHeight="1" x14ac:dyDescent="0.3">
      <c r="A728" s="34"/>
      <c r="B728" s="34"/>
      <c r="C728" s="34"/>
      <c r="D728" s="32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4.25" customHeight="1" x14ac:dyDescent="0.3">
      <c r="A729" s="34"/>
      <c r="B729" s="34"/>
      <c r="C729" s="34"/>
      <c r="D729" s="32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4.25" customHeight="1" x14ac:dyDescent="0.3">
      <c r="A730" s="34"/>
      <c r="B730" s="34"/>
      <c r="C730" s="34"/>
      <c r="D730" s="32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4.25" customHeight="1" x14ac:dyDescent="0.3">
      <c r="A731" s="34"/>
      <c r="B731" s="34"/>
      <c r="C731" s="34"/>
      <c r="D731" s="32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4.25" customHeight="1" x14ac:dyDescent="0.3">
      <c r="A732" s="34"/>
      <c r="B732" s="34"/>
      <c r="C732" s="34"/>
      <c r="D732" s="32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4.25" customHeight="1" x14ac:dyDescent="0.3">
      <c r="A733" s="34"/>
      <c r="B733" s="34"/>
      <c r="C733" s="34"/>
      <c r="D733" s="32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4.25" customHeight="1" x14ac:dyDescent="0.3">
      <c r="A734" s="34"/>
      <c r="B734" s="34"/>
      <c r="C734" s="34"/>
      <c r="D734" s="32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4.25" customHeight="1" x14ac:dyDescent="0.3">
      <c r="A735" s="34"/>
      <c r="B735" s="34"/>
      <c r="C735" s="34"/>
      <c r="D735" s="32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4.25" customHeight="1" x14ac:dyDescent="0.3">
      <c r="A736" s="34"/>
      <c r="B736" s="34"/>
      <c r="C736" s="34"/>
      <c r="D736" s="32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4.25" customHeight="1" x14ac:dyDescent="0.3">
      <c r="A737" s="34"/>
      <c r="B737" s="34"/>
      <c r="C737" s="34"/>
      <c r="D737" s="32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4.25" customHeight="1" x14ac:dyDescent="0.3">
      <c r="A738" s="34"/>
      <c r="B738" s="34"/>
      <c r="C738" s="34"/>
      <c r="D738" s="32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4.25" customHeight="1" x14ac:dyDescent="0.3">
      <c r="A739" s="34"/>
      <c r="B739" s="34"/>
      <c r="C739" s="34"/>
      <c r="D739" s="32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4.25" customHeight="1" x14ac:dyDescent="0.3">
      <c r="A740" s="34"/>
      <c r="B740" s="34"/>
      <c r="C740" s="34"/>
      <c r="D740" s="32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4.25" customHeight="1" x14ac:dyDescent="0.3">
      <c r="A741" s="34"/>
      <c r="B741" s="34"/>
      <c r="C741" s="34"/>
      <c r="D741" s="32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4.25" customHeight="1" x14ac:dyDescent="0.3">
      <c r="A742" s="34"/>
      <c r="B742" s="34"/>
      <c r="C742" s="34"/>
      <c r="D742" s="32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4.25" customHeight="1" x14ac:dyDescent="0.3">
      <c r="A743" s="34"/>
      <c r="B743" s="34"/>
      <c r="C743" s="34"/>
      <c r="D743" s="32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4.25" customHeight="1" x14ac:dyDescent="0.3">
      <c r="A744" s="34"/>
      <c r="B744" s="34"/>
      <c r="C744" s="34"/>
      <c r="D744" s="32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4.25" customHeight="1" x14ac:dyDescent="0.3">
      <c r="A745" s="34"/>
      <c r="B745" s="34"/>
      <c r="C745" s="34"/>
      <c r="D745" s="32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4.25" customHeight="1" x14ac:dyDescent="0.3">
      <c r="A746" s="34"/>
      <c r="B746" s="34"/>
      <c r="C746" s="34"/>
      <c r="D746" s="32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4.25" customHeight="1" x14ac:dyDescent="0.3">
      <c r="A747" s="34"/>
      <c r="B747" s="34"/>
      <c r="C747" s="34"/>
      <c r="D747" s="32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4.25" customHeight="1" x14ac:dyDescent="0.3">
      <c r="A748" s="34"/>
      <c r="B748" s="34"/>
      <c r="C748" s="34"/>
      <c r="D748" s="32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4.25" customHeight="1" x14ac:dyDescent="0.3">
      <c r="A749" s="34"/>
      <c r="B749" s="34"/>
      <c r="C749" s="34"/>
      <c r="D749" s="32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4.25" customHeight="1" x14ac:dyDescent="0.3">
      <c r="A750" s="34"/>
      <c r="B750" s="34"/>
      <c r="C750" s="34"/>
      <c r="D750" s="32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4.25" customHeight="1" x14ac:dyDescent="0.3">
      <c r="A751" s="34"/>
      <c r="B751" s="34"/>
      <c r="C751" s="34"/>
      <c r="D751" s="32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4.25" customHeight="1" x14ac:dyDescent="0.3">
      <c r="A752" s="34"/>
      <c r="B752" s="34"/>
      <c r="C752" s="34"/>
      <c r="D752" s="32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4.25" customHeight="1" x14ac:dyDescent="0.3">
      <c r="A753" s="34"/>
      <c r="B753" s="34"/>
      <c r="C753" s="34"/>
      <c r="D753" s="32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4.25" customHeight="1" x14ac:dyDescent="0.3">
      <c r="A754" s="34"/>
      <c r="B754" s="34"/>
      <c r="C754" s="34"/>
      <c r="D754" s="32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4.25" customHeight="1" x14ac:dyDescent="0.3">
      <c r="A755" s="34"/>
      <c r="B755" s="34"/>
      <c r="C755" s="34"/>
      <c r="D755" s="32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4.25" customHeight="1" x14ac:dyDescent="0.3">
      <c r="A756" s="34"/>
      <c r="B756" s="34"/>
      <c r="C756" s="34"/>
      <c r="D756" s="32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4.25" customHeight="1" x14ac:dyDescent="0.3">
      <c r="A757" s="34"/>
      <c r="B757" s="34"/>
      <c r="C757" s="34"/>
      <c r="D757" s="32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4.25" customHeight="1" x14ac:dyDescent="0.3">
      <c r="A758" s="34"/>
      <c r="B758" s="34"/>
      <c r="C758" s="34"/>
      <c r="D758" s="32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4.25" customHeight="1" x14ac:dyDescent="0.3">
      <c r="A759" s="34"/>
      <c r="B759" s="34"/>
      <c r="C759" s="34"/>
      <c r="D759" s="32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4.25" customHeight="1" x14ac:dyDescent="0.3">
      <c r="A760" s="34"/>
      <c r="B760" s="34"/>
      <c r="C760" s="34"/>
      <c r="D760" s="32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4.25" customHeight="1" x14ac:dyDescent="0.3">
      <c r="A761" s="34"/>
      <c r="B761" s="34"/>
      <c r="C761" s="34"/>
      <c r="D761" s="32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4.25" customHeight="1" x14ac:dyDescent="0.3">
      <c r="A762" s="34"/>
      <c r="B762" s="34"/>
      <c r="C762" s="34"/>
      <c r="D762" s="32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4.25" customHeight="1" x14ac:dyDescent="0.3">
      <c r="A763" s="34"/>
      <c r="B763" s="34"/>
      <c r="C763" s="34"/>
      <c r="D763" s="32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4.25" customHeight="1" x14ac:dyDescent="0.3">
      <c r="A764" s="34"/>
      <c r="B764" s="34"/>
      <c r="C764" s="34"/>
      <c r="D764" s="32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4.25" customHeight="1" x14ac:dyDescent="0.3">
      <c r="A765" s="34"/>
      <c r="B765" s="34"/>
      <c r="C765" s="34"/>
      <c r="D765" s="32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4.25" customHeight="1" x14ac:dyDescent="0.3">
      <c r="A766" s="34"/>
      <c r="B766" s="34"/>
      <c r="C766" s="34"/>
      <c r="D766" s="32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4.25" customHeight="1" x14ac:dyDescent="0.3">
      <c r="A767" s="34"/>
      <c r="B767" s="34"/>
      <c r="C767" s="34"/>
      <c r="D767" s="32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4.25" customHeight="1" x14ac:dyDescent="0.3">
      <c r="A768" s="34"/>
      <c r="B768" s="34"/>
      <c r="C768" s="34"/>
      <c r="D768" s="32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4.25" customHeight="1" x14ac:dyDescent="0.3">
      <c r="A769" s="34"/>
      <c r="B769" s="34"/>
      <c r="C769" s="34"/>
      <c r="D769" s="32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4.25" customHeight="1" x14ac:dyDescent="0.3">
      <c r="A770" s="34"/>
      <c r="B770" s="34"/>
      <c r="C770" s="34"/>
      <c r="D770" s="32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4.25" customHeight="1" x14ac:dyDescent="0.3">
      <c r="A771" s="34"/>
      <c r="B771" s="34"/>
      <c r="C771" s="34"/>
      <c r="D771" s="32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4.25" customHeight="1" x14ac:dyDescent="0.3">
      <c r="A772" s="34"/>
      <c r="B772" s="34"/>
      <c r="C772" s="34"/>
      <c r="D772" s="32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4.25" customHeight="1" x14ac:dyDescent="0.3">
      <c r="A773" s="34"/>
      <c r="B773" s="34"/>
      <c r="C773" s="34"/>
      <c r="D773" s="32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4.25" customHeight="1" x14ac:dyDescent="0.3">
      <c r="A774" s="34"/>
      <c r="B774" s="34"/>
      <c r="C774" s="34"/>
      <c r="D774" s="32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4.25" customHeight="1" x14ac:dyDescent="0.3">
      <c r="A775" s="34"/>
      <c r="B775" s="34"/>
      <c r="C775" s="34"/>
      <c r="D775" s="32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4.25" customHeight="1" x14ac:dyDescent="0.3">
      <c r="A776" s="34"/>
      <c r="B776" s="34"/>
      <c r="C776" s="34"/>
      <c r="D776" s="32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4.25" customHeight="1" x14ac:dyDescent="0.3">
      <c r="A777" s="34"/>
      <c r="B777" s="34"/>
      <c r="C777" s="34"/>
      <c r="D777" s="32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4.25" customHeight="1" x14ac:dyDescent="0.3">
      <c r="A778" s="34"/>
      <c r="B778" s="34"/>
      <c r="C778" s="34"/>
      <c r="D778" s="32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4.25" customHeight="1" x14ac:dyDescent="0.3">
      <c r="A779" s="34"/>
      <c r="B779" s="34"/>
      <c r="C779" s="34"/>
      <c r="D779" s="32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4.25" customHeight="1" x14ac:dyDescent="0.3">
      <c r="A780" s="34"/>
      <c r="B780" s="34"/>
      <c r="C780" s="34"/>
      <c r="D780" s="32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4.25" customHeight="1" x14ac:dyDescent="0.3">
      <c r="A781" s="34"/>
      <c r="B781" s="34"/>
      <c r="C781" s="34"/>
      <c r="D781" s="32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4.25" customHeight="1" x14ac:dyDescent="0.3">
      <c r="A782" s="34"/>
      <c r="B782" s="34"/>
      <c r="C782" s="34"/>
      <c r="D782" s="32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4.25" customHeight="1" x14ac:dyDescent="0.3">
      <c r="A783" s="34"/>
      <c r="B783" s="34"/>
      <c r="C783" s="34"/>
      <c r="D783" s="32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4.25" customHeight="1" x14ac:dyDescent="0.3">
      <c r="A784" s="34"/>
      <c r="B784" s="34"/>
      <c r="C784" s="34"/>
      <c r="D784" s="32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4.25" customHeight="1" x14ac:dyDescent="0.3">
      <c r="A785" s="34"/>
      <c r="B785" s="34"/>
      <c r="C785" s="34"/>
      <c r="D785" s="32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4.25" customHeight="1" x14ac:dyDescent="0.3">
      <c r="A786" s="34"/>
      <c r="B786" s="34"/>
      <c r="C786" s="34"/>
      <c r="D786" s="32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4.25" customHeight="1" x14ac:dyDescent="0.3">
      <c r="A787" s="34"/>
      <c r="B787" s="34"/>
      <c r="C787" s="34"/>
      <c r="D787" s="32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4.25" customHeight="1" x14ac:dyDescent="0.3">
      <c r="A788" s="34"/>
      <c r="B788" s="34"/>
      <c r="C788" s="34"/>
      <c r="D788" s="32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4.25" customHeight="1" x14ac:dyDescent="0.3">
      <c r="A789" s="34"/>
      <c r="B789" s="34"/>
      <c r="C789" s="34"/>
      <c r="D789" s="32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4.25" customHeight="1" x14ac:dyDescent="0.3">
      <c r="A790" s="34"/>
      <c r="B790" s="34"/>
      <c r="C790" s="34"/>
      <c r="D790" s="32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4.25" customHeight="1" x14ac:dyDescent="0.3">
      <c r="A791" s="34"/>
      <c r="B791" s="34"/>
      <c r="C791" s="34"/>
      <c r="D791" s="32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4.25" customHeight="1" x14ac:dyDescent="0.3">
      <c r="A792" s="34"/>
      <c r="B792" s="34"/>
      <c r="C792" s="34"/>
      <c r="D792" s="32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4.25" customHeight="1" x14ac:dyDescent="0.3">
      <c r="A793" s="34"/>
      <c r="B793" s="34"/>
      <c r="C793" s="34"/>
      <c r="D793" s="32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4.25" customHeight="1" x14ac:dyDescent="0.3">
      <c r="A794" s="34"/>
      <c r="B794" s="34"/>
      <c r="C794" s="34"/>
      <c r="D794" s="32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4.25" customHeight="1" x14ac:dyDescent="0.3">
      <c r="A795" s="34"/>
      <c r="B795" s="34"/>
      <c r="C795" s="34"/>
      <c r="D795" s="32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4.25" customHeight="1" x14ac:dyDescent="0.3">
      <c r="A796" s="34"/>
      <c r="B796" s="34"/>
      <c r="C796" s="34"/>
      <c r="D796" s="32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4.25" customHeight="1" x14ac:dyDescent="0.3">
      <c r="A797" s="34"/>
      <c r="B797" s="34"/>
      <c r="C797" s="34"/>
      <c r="D797" s="32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4.25" customHeight="1" x14ac:dyDescent="0.3">
      <c r="A798" s="34"/>
      <c r="B798" s="34"/>
      <c r="C798" s="34"/>
      <c r="D798" s="32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4.25" customHeight="1" x14ac:dyDescent="0.3">
      <c r="A799" s="34"/>
      <c r="B799" s="34"/>
      <c r="C799" s="34"/>
      <c r="D799" s="32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4.25" customHeight="1" x14ac:dyDescent="0.3">
      <c r="A800" s="34"/>
      <c r="B800" s="34"/>
      <c r="C800" s="34"/>
      <c r="D800" s="32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4.25" customHeight="1" x14ac:dyDescent="0.3">
      <c r="A801" s="34"/>
      <c r="B801" s="34"/>
      <c r="C801" s="34"/>
      <c r="D801" s="32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4.25" customHeight="1" x14ac:dyDescent="0.3">
      <c r="A802" s="34"/>
      <c r="B802" s="34"/>
      <c r="C802" s="34"/>
      <c r="D802" s="32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4.25" customHeight="1" x14ac:dyDescent="0.3">
      <c r="A803" s="34"/>
      <c r="B803" s="34"/>
      <c r="C803" s="34"/>
      <c r="D803" s="32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4.25" customHeight="1" x14ac:dyDescent="0.3">
      <c r="A804" s="34"/>
      <c r="B804" s="34"/>
      <c r="C804" s="34"/>
      <c r="D804" s="32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4.25" customHeight="1" x14ac:dyDescent="0.3">
      <c r="A805" s="34"/>
      <c r="B805" s="34"/>
      <c r="C805" s="34"/>
      <c r="D805" s="32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4.25" customHeight="1" x14ac:dyDescent="0.3">
      <c r="A806" s="34"/>
      <c r="B806" s="34"/>
      <c r="C806" s="34"/>
      <c r="D806" s="32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4.25" customHeight="1" x14ac:dyDescent="0.3">
      <c r="A807" s="34"/>
      <c r="B807" s="34"/>
      <c r="C807" s="34"/>
      <c r="D807" s="32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4.25" customHeight="1" x14ac:dyDescent="0.3">
      <c r="A808" s="34"/>
      <c r="B808" s="34"/>
      <c r="C808" s="34"/>
      <c r="D808" s="32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4.25" customHeight="1" x14ac:dyDescent="0.3">
      <c r="A809" s="34"/>
      <c r="B809" s="34"/>
      <c r="C809" s="34"/>
      <c r="D809" s="32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4.25" customHeight="1" x14ac:dyDescent="0.3">
      <c r="A810" s="34"/>
      <c r="B810" s="34"/>
      <c r="C810" s="34"/>
      <c r="D810" s="32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4.25" customHeight="1" x14ac:dyDescent="0.3">
      <c r="A811" s="34"/>
      <c r="B811" s="34"/>
      <c r="C811" s="34"/>
      <c r="D811" s="32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4.25" customHeight="1" x14ac:dyDescent="0.3">
      <c r="A812" s="34"/>
      <c r="B812" s="34"/>
      <c r="C812" s="34"/>
      <c r="D812" s="32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4.25" customHeight="1" x14ac:dyDescent="0.3">
      <c r="A813" s="34"/>
      <c r="B813" s="34"/>
      <c r="C813" s="34"/>
      <c r="D813" s="32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4.25" customHeight="1" x14ac:dyDescent="0.3">
      <c r="A814" s="34"/>
      <c r="B814" s="34"/>
      <c r="C814" s="34"/>
      <c r="D814" s="32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4.25" customHeight="1" x14ac:dyDescent="0.3">
      <c r="A815" s="34"/>
      <c r="B815" s="34"/>
      <c r="C815" s="34"/>
      <c r="D815" s="32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4.25" customHeight="1" x14ac:dyDescent="0.3">
      <c r="A816" s="34"/>
      <c r="B816" s="34"/>
      <c r="C816" s="34"/>
      <c r="D816" s="32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4.25" customHeight="1" x14ac:dyDescent="0.3">
      <c r="A817" s="34"/>
      <c r="B817" s="34"/>
      <c r="C817" s="34"/>
      <c r="D817" s="32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4.25" customHeight="1" x14ac:dyDescent="0.3">
      <c r="A818" s="34"/>
      <c r="B818" s="34"/>
      <c r="C818" s="34"/>
      <c r="D818" s="32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4.25" customHeight="1" x14ac:dyDescent="0.3">
      <c r="A819" s="34"/>
      <c r="B819" s="34"/>
      <c r="C819" s="34"/>
      <c r="D819" s="32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4.25" customHeight="1" x14ac:dyDescent="0.3">
      <c r="A820" s="34"/>
      <c r="B820" s="34"/>
      <c r="C820" s="34"/>
      <c r="D820" s="32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4.25" customHeight="1" x14ac:dyDescent="0.3">
      <c r="A821" s="34"/>
      <c r="B821" s="34"/>
      <c r="C821" s="34"/>
      <c r="D821" s="32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4.25" customHeight="1" x14ac:dyDescent="0.3">
      <c r="A822" s="34"/>
      <c r="B822" s="34"/>
      <c r="C822" s="34"/>
      <c r="D822" s="32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4.25" customHeight="1" x14ac:dyDescent="0.3">
      <c r="A823" s="34"/>
      <c r="B823" s="34"/>
      <c r="C823" s="34"/>
      <c r="D823" s="32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4.25" customHeight="1" x14ac:dyDescent="0.3">
      <c r="A824" s="34"/>
      <c r="B824" s="34"/>
      <c r="C824" s="34"/>
      <c r="D824" s="32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4.25" customHeight="1" x14ac:dyDescent="0.3">
      <c r="A825" s="34"/>
      <c r="B825" s="34"/>
      <c r="C825" s="34"/>
      <c r="D825" s="32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4.25" customHeight="1" x14ac:dyDescent="0.3">
      <c r="A826" s="34"/>
      <c r="B826" s="34"/>
      <c r="C826" s="34"/>
      <c r="D826" s="32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4.25" customHeight="1" x14ac:dyDescent="0.3">
      <c r="A827" s="34"/>
      <c r="B827" s="34"/>
      <c r="C827" s="34"/>
      <c r="D827" s="32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4.25" customHeight="1" x14ac:dyDescent="0.3">
      <c r="A828" s="34"/>
      <c r="B828" s="34"/>
      <c r="C828" s="34"/>
      <c r="D828" s="32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4.25" customHeight="1" x14ac:dyDescent="0.3">
      <c r="A829" s="34"/>
      <c r="B829" s="34"/>
      <c r="C829" s="34"/>
      <c r="D829" s="32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4.25" customHeight="1" x14ac:dyDescent="0.3">
      <c r="A830" s="34"/>
      <c r="B830" s="34"/>
      <c r="C830" s="34"/>
      <c r="D830" s="32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4.25" customHeight="1" x14ac:dyDescent="0.3">
      <c r="A831" s="34"/>
      <c r="B831" s="34"/>
      <c r="C831" s="34"/>
      <c r="D831" s="32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4.25" customHeight="1" x14ac:dyDescent="0.3">
      <c r="A832" s="34"/>
      <c r="B832" s="34"/>
      <c r="C832" s="34"/>
      <c r="D832" s="32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4.25" customHeight="1" x14ac:dyDescent="0.3">
      <c r="A833" s="34"/>
      <c r="B833" s="34"/>
      <c r="C833" s="34"/>
      <c r="D833" s="32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4.25" customHeight="1" x14ac:dyDescent="0.3">
      <c r="A834" s="34"/>
      <c r="B834" s="34"/>
      <c r="C834" s="34"/>
      <c r="D834" s="32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4.25" customHeight="1" x14ac:dyDescent="0.3">
      <c r="A835" s="34"/>
      <c r="B835" s="34"/>
      <c r="C835" s="34"/>
      <c r="D835" s="32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4.25" customHeight="1" x14ac:dyDescent="0.3">
      <c r="A836" s="34"/>
      <c r="B836" s="34"/>
      <c r="C836" s="34"/>
      <c r="D836" s="32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4.25" customHeight="1" x14ac:dyDescent="0.3">
      <c r="A837" s="34"/>
      <c r="B837" s="34"/>
      <c r="C837" s="34"/>
      <c r="D837" s="32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4.25" customHeight="1" x14ac:dyDescent="0.3">
      <c r="A838" s="34"/>
      <c r="B838" s="34"/>
      <c r="C838" s="34"/>
      <c r="D838" s="32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4.25" customHeight="1" x14ac:dyDescent="0.3">
      <c r="A839" s="34"/>
      <c r="B839" s="34"/>
      <c r="C839" s="34"/>
      <c r="D839" s="32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4.25" customHeight="1" x14ac:dyDescent="0.3">
      <c r="A840" s="34"/>
      <c r="B840" s="34"/>
      <c r="C840" s="34"/>
      <c r="D840" s="32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4.25" customHeight="1" x14ac:dyDescent="0.3">
      <c r="A841" s="34"/>
      <c r="B841" s="34"/>
      <c r="C841" s="34"/>
      <c r="D841" s="32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4.25" customHeight="1" x14ac:dyDescent="0.3">
      <c r="A842" s="34"/>
      <c r="B842" s="34"/>
      <c r="C842" s="34"/>
      <c r="D842" s="32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4.25" customHeight="1" x14ac:dyDescent="0.3">
      <c r="A843" s="34"/>
      <c r="B843" s="34"/>
      <c r="C843" s="34"/>
      <c r="D843" s="32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4.25" customHeight="1" x14ac:dyDescent="0.3">
      <c r="A844" s="34"/>
      <c r="B844" s="34"/>
      <c r="C844" s="34"/>
      <c r="D844" s="32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4.25" customHeight="1" x14ac:dyDescent="0.3">
      <c r="A845" s="34"/>
      <c r="B845" s="34"/>
      <c r="C845" s="34"/>
      <c r="D845" s="32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4.25" customHeight="1" x14ac:dyDescent="0.3">
      <c r="A846" s="34"/>
      <c r="B846" s="34"/>
      <c r="C846" s="34"/>
      <c r="D846" s="32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4.25" customHeight="1" x14ac:dyDescent="0.3">
      <c r="A847" s="34"/>
      <c r="B847" s="34"/>
      <c r="C847" s="34"/>
      <c r="D847" s="32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4.25" customHeight="1" x14ac:dyDescent="0.3">
      <c r="A848" s="34"/>
      <c r="B848" s="34"/>
      <c r="C848" s="34"/>
      <c r="D848" s="32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4.25" customHeight="1" x14ac:dyDescent="0.3">
      <c r="A849" s="34"/>
      <c r="B849" s="34"/>
      <c r="C849" s="34"/>
      <c r="D849" s="32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4.25" customHeight="1" x14ac:dyDescent="0.3">
      <c r="A850" s="34"/>
      <c r="B850" s="34"/>
      <c r="C850" s="34"/>
      <c r="D850" s="32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4.25" customHeight="1" x14ac:dyDescent="0.3">
      <c r="A851" s="34"/>
      <c r="B851" s="34"/>
      <c r="C851" s="34"/>
      <c r="D851" s="32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4.25" customHeight="1" x14ac:dyDescent="0.3">
      <c r="A852" s="34"/>
      <c r="B852" s="34"/>
      <c r="C852" s="34"/>
      <c r="D852" s="32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4.25" customHeight="1" x14ac:dyDescent="0.3">
      <c r="A853" s="34"/>
      <c r="B853" s="34"/>
      <c r="C853" s="34"/>
      <c r="D853" s="32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4.25" customHeight="1" x14ac:dyDescent="0.3">
      <c r="A854" s="34"/>
      <c r="B854" s="34"/>
      <c r="C854" s="34"/>
      <c r="D854" s="32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4.25" customHeight="1" x14ac:dyDescent="0.3">
      <c r="A855" s="34"/>
      <c r="B855" s="34"/>
      <c r="C855" s="34"/>
      <c r="D855" s="32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4.25" customHeight="1" x14ac:dyDescent="0.3">
      <c r="A856" s="34"/>
      <c r="B856" s="34"/>
      <c r="C856" s="34"/>
      <c r="D856" s="32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4.25" customHeight="1" x14ac:dyDescent="0.3">
      <c r="A857" s="34"/>
      <c r="B857" s="34"/>
      <c r="C857" s="34"/>
      <c r="D857" s="32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4.25" customHeight="1" x14ac:dyDescent="0.3">
      <c r="A858" s="34"/>
      <c r="B858" s="34"/>
      <c r="C858" s="34"/>
      <c r="D858" s="32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4.25" customHeight="1" x14ac:dyDescent="0.3">
      <c r="A859" s="34"/>
      <c r="B859" s="34"/>
      <c r="C859" s="34"/>
      <c r="D859" s="32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4.25" customHeight="1" x14ac:dyDescent="0.3">
      <c r="A860" s="34"/>
      <c r="B860" s="34"/>
      <c r="C860" s="34"/>
      <c r="D860" s="32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4.25" customHeight="1" x14ac:dyDescent="0.3">
      <c r="A861" s="34"/>
      <c r="B861" s="34"/>
      <c r="C861" s="34"/>
      <c r="D861" s="32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4.25" customHeight="1" x14ac:dyDescent="0.3">
      <c r="A862" s="34"/>
      <c r="B862" s="34"/>
      <c r="C862" s="34"/>
      <c r="D862" s="32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4.25" customHeight="1" x14ac:dyDescent="0.3">
      <c r="A863" s="34"/>
      <c r="B863" s="34"/>
      <c r="C863" s="34"/>
      <c r="D863" s="32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4.25" customHeight="1" x14ac:dyDescent="0.3">
      <c r="A864" s="34"/>
      <c r="B864" s="34"/>
      <c r="C864" s="34"/>
      <c r="D864" s="32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4.25" customHeight="1" x14ac:dyDescent="0.3">
      <c r="A865" s="34"/>
      <c r="B865" s="34"/>
      <c r="C865" s="34"/>
      <c r="D865" s="32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4.25" customHeight="1" x14ac:dyDescent="0.3">
      <c r="A866" s="34"/>
      <c r="B866" s="34"/>
      <c r="C866" s="34"/>
      <c r="D866" s="32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4.25" customHeight="1" x14ac:dyDescent="0.3">
      <c r="A867" s="34"/>
      <c r="B867" s="34"/>
      <c r="C867" s="34"/>
      <c r="D867" s="32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4.25" customHeight="1" x14ac:dyDescent="0.3">
      <c r="A868" s="34"/>
      <c r="B868" s="34"/>
      <c r="C868" s="34"/>
      <c r="D868" s="32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4.25" customHeight="1" x14ac:dyDescent="0.3">
      <c r="A869" s="34"/>
      <c r="B869" s="34"/>
      <c r="C869" s="34"/>
      <c r="D869" s="32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4.25" customHeight="1" x14ac:dyDescent="0.3">
      <c r="A870" s="34"/>
      <c r="B870" s="34"/>
      <c r="C870" s="34"/>
      <c r="D870" s="32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4.25" customHeight="1" x14ac:dyDescent="0.3">
      <c r="A871" s="34"/>
      <c r="B871" s="34"/>
      <c r="C871" s="34"/>
      <c r="D871" s="32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4.25" customHeight="1" x14ac:dyDescent="0.3">
      <c r="A872" s="34"/>
      <c r="B872" s="34"/>
      <c r="C872" s="34"/>
      <c r="D872" s="32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4.25" customHeight="1" x14ac:dyDescent="0.3">
      <c r="A873" s="34"/>
      <c r="B873" s="34"/>
      <c r="C873" s="34"/>
      <c r="D873" s="32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4.25" customHeight="1" x14ac:dyDescent="0.3">
      <c r="A874" s="34"/>
      <c r="B874" s="34"/>
      <c r="C874" s="34"/>
      <c r="D874" s="32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4.25" customHeight="1" x14ac:dyDescent="0.3">
      <c r="A875" s="34"/>
      <c r="B875" s="34"/>
      <c r="C875" s="34"/>
      <c r="D875" s="32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4.25" customHeight="1" x14ac:dyDescent="0.3">
      <c r="A876" s="34"/>
      <c r="B876" s="34"/>
      <c r="C876" s="34"/>
      <c r="D876" s="32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4.25" customHeight="1" x14ac:dyDescent="0.3">
      <c r="A877" s="34"/>
      <c r="B877" s="34"/>
      <c r="C877" s="34"/>
      <c r="D877" s="32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4.25" customHeight="1" x14ac:dyDescent="0.3">
      <c r="A878" s="34"/>
      <c r="B878" s="34"/>
      <c r="C878" s="34"/>
      <c r="D878" s="32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4.25" customHeight="1" x14ac:dyDescent="0.3">
      <c r="A879" s="34"/>
      <c r="B879" s="34"/>
      <c r="C879" s="34"/>
      <c r="D879" s="32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4.25" customHeight="1" x14ac:dyDescent="0.3">
      <c r="A880" s="34"/>
      <c r="B880" s="34"/>
      <c r="C880" s="34"/>
      <c r="D880" s="32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4.25" customHeight="1" x14ac:dyDescent="0.3">
      <c r="A881" s="34"/>
      <c r="B881" s="34"/>
      <c r="C881" s="34"/>
      <c r="D881" s="32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4.25" customHeight="1" x14ac:dyDescent="0.3">
      <c r="A882" s="34"/>
      <c r="B882" s="34"/>
      <c r="C882" s="34"/>
      <c r="D882" s="32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4.25" customHeight="1" x14ac:dyDescent="0.3">
      <c r="A883" s="34"/>
      <c r="B883" s="34"/>
      <c r="C883" s="34"/>
      <c r="D883" s="32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4.25" customHeight="1" x14ac:dyDescent="0.3">
      <c r="A884" s="34"/>
      <c r="B884" s="34"/>
      <c r="C884" s="34"/>
      <c r="D884" s="32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4.25" customHeight="1" x14ac:dyDescent="0.3">
      <c r="A885" s="34"/>
      <c r="B885" s="34"/>
      <c r="C885" s="34"/>
      <c r="D885" s="32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4.25" customHeight="1" x14ac:dyDescent="0.3">
      <c r="A886" s="34"/>
      <c r="B886" s="34"/>
      <c r="C886" s="34"/>
      <c r="D886" s="32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4.25" customHeight="1" x14ac:dyDescent="0.3">
      <c r="A887" s="34"/>
      <c r="B887" s="34"/>
      <c r="C887" s="34"/>
      <c r="D887" s="32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4.25" customHeight="1" x14ac:dyDescent="0.3">
      <c r="A888" s="34"/>
      <c r="B888" s="34"/>
      <c r="C888" s="34"/>
      <c r="D888" s="32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4.25" customHeight="1" x14ac:dyDescent="0.3">
      <c r="A889" s="34"/>
      <c r="B889" s="34"/>
      <c r="C889" s="34"/>
      <c r="D889" s="32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4.25" customHeight="1" x14ac:dyDescent="0.3">
      <c r="A890" s="34"/>
      <c r="B890" s="34"/>
      <c r="C890" s="34"/>
      <c r="D890" s="32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4.25" customHeight="1" x14ac:dyDescent="0.3">
      <c r="A891" s="34"/>
      <c r="B891" s="34"/>
      <c r="C891" s="34"/>
      <c r="D891" s="32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4.25" customHeight="1" x14ac:dyDescent="0.3">
      <c r="A892" s="34"/>
      <c r="B892" s="34"/>
      <c r="C892" s="34"/>
      <c r="D892" s="32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4.25" customHeight="1" x14ac:dyDescent="0.3">
      <c r="A893" s="34"/>
      <c r="B893" s="34"/>
      <c r="C893" s="34"/>
      <c r="D893" s="32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4.25" customHeight="1" x14ac:dyDescent="0.3">
      <c r="A894" s="34"/>
      <c r="B894" s="34"/>
      <c r="C894" s="34"/>
      <c r="D894" s="32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4.25" customHeight="1" x14ac:dyDescent="0.3">
      <c r="A895" s="34"/>
      <c r="B895" s="34"/>
      <c r="C895" s="34"/>
      <c r="D895" s="32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4.25" customHeight="1" x14ac:dyDescent="0.3">
      <c r="A896" s="34"/>
      <c r="B896" s="34"/>
      <c r="C896" s="34"/>
      <c r="D896" s="32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4.25" customHeight="1" x14ac:dyDescent="0.3">
      <c r="A897" s="34"/>
      <c r="B897" s="34"/>
      <c r="C897" s="34"/>
      <c r="D897" s="32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4.25" customHeight="1" x14ac:dyDescent="0.3">
      <c r="A898" s="34"/>
      <c r="B898" s="34"/>
      <c r="C898" s="34"/>
      <c r="D898" s="32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4.25" customHeight="1" x14ac:dyDescent="0.3">
      <c r="A899" s="34"/>
      <c r="B899" s="34"/>
      <c r="C899" s="34"/>
      <c r="D899" s="32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4.25" customHeight="1" x14ac:dyDescent="0.3">
      <c r="A900" s="34"/>
      <c r="B900" s="34"/>
      <c r="C900" s="34"/>
      <c r="D900" s="32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4.25" customHeight="1" x14ac:dyDescent="0.3">
      <c r="A901" s="34"/>
      <c r="B901" s="34"/>
      <c r="C901" s="34"/>
      <c r="D901" s="32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4.25" customHeight="1" x14ac:dyDescent="0.3">
      <c r="A902" s="34"/>
      <c r="B902" s="34"/>
      <c r="C902" s="34"/>
      <c r="D902" s="32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4.25" customHeight="1" x14ac:dyDescent="0.3">
      <c r="A903" s="34"/>
      <c r="B903" s="34"/>
      <c r="C903" s="34"/>
      <c r="D903" s="32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4.25" customHeight="1" x14ac:dyDescent="0.3">
      <c r="A904" s="34"/>
      <c r="B904" s="34"/>
      <c r="C904" s="34"/>
      <c r="D904" s="32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4.25" customHeight="1" x14ac:dyDescent="0.3">
      <c r="A905" s="34"/>
      <c r="B905" s="34"/>
      <c r="C905" s="34"/>
      <c r="D905" s="32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4.25" customHeight="1" x14ac:dyDescent="0.3">
      <c r="A906" s="34"/>
      <c r="B906" s="34"/>
      <c r="C906" s="34"/>
      <c r="D906" s="32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4.25" customHeight="1" x14ac:dyDescent="0.3">
      <c r="A907" s="34"/>
      <c r="B907" s="34"/>
      <c r="C907" s="34"/>
      <c r="D907" s="32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4.25" customHeight="1" x14ac:dyDescent="0.3">
      <c r="A908" s="34"/>
      <c r="B908" s="34"/>
      <c r="C908" s="34"/>
      <c r="D908" s="32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4.25" customHeight="1" x14ac:dyDescent="0.3">
      <c r="A909" s="34"/>
      <c r="B909" s="34"/>
      <c r="C909" s="34"/>
      <c r="D909" s="32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4.25" customHeight="1" x14ac:dyDescent="0.3">
      <c r="A910" s="34"/>
      <c r="B910" s="34"/>
      <c r="C910" s="34"/>
      <c r="D910" s="32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4.25" customHeight="1" x14ac:dyDescent="0.3">
      <c r="A911" s="34"/>
      <c r="B911" s="34"/>
      <c r="C911" s="34"/>
      <c r="D911" s="32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4.25" customHeight="1" x14ac:dyDescent="0.3">
      <c r="A912" s="34"/>
      <c r="B912" s="34"/>
      <c r="C912" s="34"/>
      <c r="D912" s="32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4.25" customHeight="1" x14ac:dyDescent="0.3">
      <c r="A913" s="34"/>
      <c r="B913" s="34"/>
      <c r="C913" s="34"/>
      <c r="D913" s="32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4.25" customHeight="1" x14ac:dyDescent="0.3">
      <c r="A914" s="34"/>
      <c r="B914" s="34"/>
      <c r="C914" s="34"/>
      <c r="D914" s="32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4.25" customHeight="1" x14ac:dyDescent="0.3">
      <c r="A915" s="34"/>
      <c r="B915" s="34"/>
      <c r="C915" s="34"/>
      <c r="D915" s="32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4.25" customHeight="1" x14ac:dyDescent="0.3">
      <c r="A916" s="34"/>
      <c r="B916" s="34"/>
      <c r="C916" s="34"/>
      <c r="D916" s="32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4.25" customHeight="1" x14ac:dyDescent="0.3">
      <c r="A917" s="34"/>
      <c r="B917" s="34"/>
      <c r="C917" s="34"/>
      <c r="D917" s="32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4.25" customHeight="1" x14ac:dyDescent="0.3">
      <c r="A918" s="34"/>
      <c r="B918" s="34"/>
      <c r="C918" s="34"/>
      <c r="D918" s="32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4.25" customHeight="1" x14ac:dyDescent="0.3">
      <c r="A919" s="34"/>
      <c r="B919" s="34"/>
      <c r="C919" s="34"/>
      <c r="D919" s="32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4.25" customHeight="1" x14ac:dyDescent="0.3">
      <c r="A920" s="34"/>
      <c r="B920" s="34"/>
      <c r="C920" s="34"/>
      <c r="D920" s="32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4.25" customHeight="1" x14ac:dyDescent="0.3">
      <c r="A921" s="34"/>
      <c r="B921" s="34"/>
      <c r="C921" s="34"/>
      <c r="D921" s="32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4.25" customHeight="1" x14ac:dyDescent="0.3">
      <c r="A922" s="34"/>
      <c r="B922" s="34"/>
      <c r="C922" s="34"/>
      <c r="D922" s="32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4.25" customHeight="1" x14ac:dyDescent="0.3">
      <c r="A923" s="34"/>
      <c r="B923" s="34"/>
      <c r="C923" s="34"/>
      <c r="D923" s="32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4.25" customHeight="1" x14ac:dyDescent="0.3">
      <c r="A924" s="34"/>
      <c r="B924" s="34"/>
      <c r="C924" s="34"/>
      <c r="D924" s="32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4.25" customHeight="1" x14ac:dyDescent="0.3">
      <c r="A925" s="34"/>
      <c r="B925" s="34"/>
      <c r="C925" s="34"/>
      <c r="D925" s="32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4.25" customHeight="1" x14ac:dyDescent="0.3">
      <c r="A926" s="34"/>
      <c r="B926" s="34"/>
      <c r="C926" s="34"/>
      <c r="D926" s="32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4.25" customHeight="1" x14ac:dyDescent="0.3">
      <c r="A927" s="34"/>
      <c r="B927" s="34"/>
      <c r="C927" s="34"/>
      <c r="D927" s="32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4.25" customHeight="1" x14ac:dyDescent="0.3">
      <c r="A928" s="34"/>
      <c r="B928" s="34"/>
      <c r="C928" s="34"/>
      <c r="D928" s="32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4.25" customHeight="1" x14ac:dyDescent="0.3">
      <c r="A929" s="34"/>
      <c r="B929" s="34"/>
      <c r="C929" s="34"/>
      <c r="D929" s="32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4.25" customHeight="1" x14ac:dyDescent="0.3">
      <c r="A930" s="34"/>
      <c r="B930" s="34"/>
      <c r="C930" s="34"/>
      <c r="D930" s="32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4.25" customHeight="1" x14ac:dyDescent="0.3">
      <c r="A931" s="34"/>
      <c r="B931" s="34"/>
      <c r="C931" s="34"/>
      <c r="D931" s="32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4.25" customHeight="1" x14ac:dyDescent="0.3">
      <c r="A932" s="34"/>
      <c r="B932" s="34"/>
      <c r="C932" s="34"/>
      <c r="D932" s="32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4.25" customHeight="1" x14ac:dyDescent="0.3">
      <c r="A933" s="34"/>
      <c r="B933" s="34"/>
      <c r="C933" s="34"/>
      <c r="D933" s="32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4.25" customHeight="1" x14ac:dyDescent="0.3">
      <c r="A934" s="34"/>
      <c r="B934" s="34"/>
      <c r="C934" s="34"/>
      <c r="D934" s="32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4.25" customHeight="1" x14ac:dyDescent="0.3">
      <c r="A935" s="34"/>
      <c r="B935" s="34"/>
      <c r="C935" s="34"/>
      <c r="D935" s="32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4.25" customHeight="1" x14ac:dyDescent="0.3">
      <c r="A936" s="34"/>
      <c r="B936" s="34"/>
      <c r="C936" s="34"/>
      <c r="D936" s="32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4.25" customHeight="1" x14ac:dyDescent="0.3">
      <c r="A937" s="34"/>
      <c r="B937" s="34"/>
      <c r="C937" s="34"/>
      <c r="D937" s="32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4.25" customHeight="1" x14ac:dyDescent="0.3">
      <c r="A938" s="34"/>
      <c r="B938" s="34"/>
      <c r="C938" s="34"/>
      <c r="D938" s="32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4.25" customHeight="1" x14ac:dyDescent="0.3">
      <c r="A939" s="34"/>
      <c r="B939" s="34"/>
      <c r="C939" s="34"/>
      <c r="D939" s="32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4.25" customHeight="1" x14ac:dyDescent="0.3">
      <c r="A940" s="34"/>
      <c r="B940" s="34"/>
      <c r="C940" s="34"/>
      <c r="D940" s="32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4.25" customHeight="1" x14ac:dyDescent="0.3">
      <c r="A941" s="34"/>
      <c r="B941" s="34"/>
      <c r="C941" s="34"/>
      <c r="D941" s="32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4.25" customHeight="1" x14ac:dyDescent="0.3">
      <c r="A942" s="34"/>
      <c r="B942" s="34"/>
      <c r="C942" s="34"/>
      <c r="D942" s="32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4.25" customHeight="1" x14ac:dyDescent="0.3">
      <c r="A943" s="34"/>
      <c r="B943" s="34"/>
      <c r="C943" s="34"/>
      <c r="D943" s="32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4.25" customHeight="1" x14ac:dyDescent="0.3">
      <c r="A944" s="34"/>
      <c r="B944" s="34"/>
      <c r="C944" s="34"/>
      <c r="D944" s="32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4.25" customHeight="1" x14ac:dyDescent="0.3">
      <c r="A945" s="34"/>
      <c r="B945" s="34"/>
      <c r="C945" s="34"/>
      <c r="D945" s="32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4.25" customHeight="1" x14ac:dyDescent="0.3">
      <c r="A946" s="34"/>
      <c r="B946" s="34"/>
      <c r="C946" s="34"/>
      <c r="D946" s="32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4.25" customHeight="1" x14ac:dyDescent="0.3">
      <c r="A947" s="34"/>
      <c r="B947" s="34"/>
      <c r="C947" s="34"/>
      <c r="D947" s="32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4.25" customHeight="1" x14ac:dyDescent="0.3">
      <c r="A948" s="34"/>
      <c r="B948" s="34"/>
      <c r="C948" s="34"/>
      <c r="D948" s="32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4.25" customHeight="1" x14ac:dyDescent="0.3">
      <c r="A949" s="34"/>
      <c r="B949" s="34"/>
      <c r="C949" s="34"/>
      <c r="D949" s="32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4.25" customHeight="1" x14ac:dyDescent="0.3">
      <c r="A950" s="34"/>
      <c r="B950" s="34"/>
      <c r="C950" s="34"/>
      <c r="D950" s="32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4.25" customHeight="1" x14ac:dyDescent="0.3">
      <c r="A951" s="34"/>
      <c r="B951" s="34"/>
      <c r="C951" s="34"/>
      <c r="D951" s="32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4.25" customHeight="1" x14ac:dyDescent="0.3">
      <c r="A952" s="34"/>
      <c r="B952" s="34"/>
      <c r="C952" s="34"/>
      <c r="D952" s="32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4.25" customHeight="1" x14ac:dyDescent="0.3">
      <c r="A953" s="34"/>
      <c r="B953" s="34"/>
      <c r="C953" s="34"/>
      <c r="D953" s="32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4.25" customHeight="1" x14ac:dyDescent="0.3">
      <c r="A954" s="34"/>
      <c r="B954" s="34"/>
      <c r="C954" s="34"/>
      <c r="D954" s="32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4.25" customHeight="1" x14ac:dyDescent="0.3">
      <c r="A955" s="34"/>
      <c r="B955" s="34"/>
      <c r="C955" s="34"/>
      <c r="D955" s="32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4.25" customHeight="1" x14ac:dyDescent="0.3">
      <c r="A956" s="34"/>
      <c r="B956" s="34"/>
      <c r="C956" s="34"/>
      <c r="D956" s="32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4.25" customHeight="1" x14ac:dyDescent="0.3">
      <c r="A957" s="34"/>
      <c r="B957" s="34"/>
      <c r="C957" s="34"/>
      <c r="D957" s="32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4.25" customHeight="1" x14ac:dyDescent="0.3">
      <c r="A958" s="34"/>
      <c r="B958" s="34"/>
      <c r="C958" s="34"/>
      <c r="D958" s="32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4.25" customHeight="1" x14ac:dyDescent="0.3">
      <c r="A959" s="34"/>
      <c r="B959" s="34"/>
      <c r="C959" s="34"/>
      <c r="D959" s="32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4.25" customHeight="1" x14ac:dyDescent="0.3">
      <c r="A960" s="34"/>
      <c r="B960" s="34"/>
      <c r="C960" s="34"/>
      <c r="D960" s="32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4.25" customHeight="1" x14ac:dyDescent="0.3">
      <c r="A961" s="34"/>
      <c r="B961" s="34"/>
      <c r="C961" s="34"/>
      <c r="D961" s="32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4.25" customHeight="1" x14ac:dyDescent="0.3">
      <c r="A962" s="34"/>
      <c r="B962" s="34"/>
      <c r="C962" s="34"/>
      <c r="D962" s="32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4.25" customHeight="1" x14ac:dyDescent="0.3">
      <c r="A963" s="34"/>
      <c r="B963" s="34"/>
      <c r="C963" s="34"/>
      <c r="D963" s="32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4.25" customHeight="1" x14ac:dyDescent="0.3">
      <c r="A964" s="34"/>
      <c r="B964" s="34"/>
      <c r="C964" s="34"/>
      <c r="D964" s="32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4.25" customHeight="1" x14ac:dyDescent="0.3">
      <c r="A965" s="34"/>
      <c r="B965" s="34"/>
      <c r="C965" s="34"/>
      <c r="D965" s="32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4.25" customHeight="1" x14ac:dyDescent="0.3">
      <c r="A966" s="34"/>
      <c r="B966" s="34"/>
      <c r="C966" s="34"/>
      <c r="D966" s="32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4.25" customHeight="1" x14ac:dyDescent="0.3">
      <c r="A967" s="34"/>
      <c r="B967" s="34"/>
      <c r="C967" s="34"/>
      <c r="D967" s="32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4.25" customHeight="1" x14ac:dyDescent="0.3">
      <c r="A968" s="34"/>
      <c r="B968" s="34"/>
      <c r="C968" s="34"/>
      <c r="D968" s="32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4.25" customHeight="1" x14ac:dyDescent="0.3">
      <c r="A969" s="34"/>
      <c r="B969" s="34"/>
      <c r="C969" s="34"/>
      <c r="D969" s="32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4.25" customHeight="1" x14ac:dyDescent="0.3">
      <c r="A970" s="34"/>
      <c r="B970" s="34"/>
      <c r="C970" s="34"/>
      <c r="D970" s="32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4.25" customHeight="1" x14ac:dyDescent="0.3">
      <c r="A971" s="34"/>
      <c r="B971" s="34"/>
      <c r="C971" s="34"/>
      <c r="D971" s="32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4.25" customHeight="1" x14ac:dyDescent="0.3">
      <c r="A972" s="34"/>
      <c r="B972" s="34"/>
      <c r="C972" s="34"/>
      <c r="D972" s="32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4.25" customHeight="1" x14ac:dyDescent="0.3">
      <c r="A973" s="34"/>
      <c r="B973" s="34"/>
      <c r="C973" s="34"/>
      <c r="D973" s="32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4.25" customHeight="1" x14ac:dyDescent="0.3">
      <c r="A974" s="34"/>
      <c r="B974" s="34"/>
      <c r="C974" s="34"/>
      <c r="D974" s="32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4.25" customHeight="1" x14ac:dyDescent="0.3">
      <c r="A975" s="34"/>
      <c r="B975" s="34"/>
      <c r="C975" s="34"/>
      <c r="D975" s="32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4.25" customHeight="1" x14ac:dyDescent="0.3">
      <c r="A976" s="34"/>
      <c r="B976" s="34"/>
      <c r="C976" s="34"/>
      <c r="D976" s="32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4.25" customHeight="1" x14ac:dyDescent="0.3">
      <c r="A977" s="34"/>
      <c r="B977" s="34"/>
      <c r="C977" s="34"/>
      <c r="D977" s="32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4.25" customHeight="1" x14ac:dyDescent="0.3">
      <c r="A978" s="34"/>
      <c r="B978" s="34"/>
      <c r="C978" s="34"/>
      <c r="D978" s="32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4.25" customHeight="1" x14ac:dyDescent="0.3">
      <c r="A979" s="34"/>
      <c r="B979" s="34"/>
      <c r="C979" s="34"/>
      <c r="D979" s="32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4.25" customHeight="1" x14ac:dyDescent="0.3">
      <c r="A980" s="34"/>
      <c r="B980" s="34"/>
      <c r="C980" s="34"/>
      <c r="D980" s="32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4.25" customHeight="1" x14ac:dyDescent="0.3">
      <c r="A981" s="34"/>
      <c r="B981" s="34"/>
      <c r="C981" s="34"/>
      <c r="D981" s="32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4.25" customHeight="1" x14ac:dyDescent="0.3">
      <c r="A982" s="34"/>
      <c r="B982" s="34"/>
      <c r="C982" s="34"/>
      <c r="D982" s="32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4.25" customHeight="1" x14ac:dyDescent="0.3">
      <c r="A983" s="34"/>
      <c r="B983" s="34"/>
      <c r="C983" s="34"/>
      <c r="D983" s="32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4.25" customHeight="1" x14ac:dyDescent="0.3">
      <c r="A984" s="34"/>
      <c r="B984" s="34"/>
      <c r="C984" s="34"/>
      <c r="D984" s="32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4.25" customHeight="1" x14ac:dyDescent="0.3">
      <c r="A985" s="34"/>
      <c r="B985" s="34"/>
      <c r="C985" s="34"/>
      <c r="D985" s="32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4.25" customHeight="1" x14ac:dyDescent="0.3">
      <c r="A986" s="34"/>
      <c r="B986" s="34"/>
      <c r="C986" s="34"/>
      <c r="D986" s="32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4.25" customHeight="1" x14ac:dyDescent="0.3">
      <c r="A987" s="34"/>
      <c r="B987" s="34"/>
      <c r="C987" s="34"/>
      <c r="D987" s="32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4.25" customHeight="1" x14ac:dyDescent="0.3">
      <c r="A988" s="34"/>
      <c r="B988" s="34"/>
      <c r="C988" s="34"/>
      <c r="D988" s="32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4.25" customHeight="1" x14ac:dyDescent="0.3">
      <c r="A989" s="34"/>
      <c r="B989" s="34"/>
      <c r="C989" s="34"/>
      <c r="D989" s="32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4.25" customHeight="1" x14ac:dyDescent="0.3">
      <c r="A990" s="34"/>
      <c r="B990" s="34"/>
      <c r="C990" s="34"/>
      <c r="D990" s="32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4.25" customHeight="1" x14ac:dyDescent="0.3">
      <c r="A991" s="34"/>
      <c r="B991" s="34"/>
      <c r="C991" s="34"/>
      <c r="D991" s="32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4.25" customHeight="1" x14ac:dyDescent="0.3">
      <c r="A992" s="34"/>
      <c r="B992" s="34"/>
      <c r="C992" s="34"/>
      <c r="D992" s="32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4.25" customHeight="1" x14ac:dyDescent="0.3">
      <c r="A993" s="34"/>
      <c r="B993" s="34"/>
      <c r="C993" s="34"/>
      <c r="D993" s="32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4.25" customHeight="1" x14ac:dyDescent="0.3">
      <c r="A994" s="34"/>
      <c r="B994" s="34"/>
      <c r="C994" s="34"/>
      <c r="D994" s="32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4.25" customHeight="1" x14ac:dyDescent="0.3">
      <c r="A995" s="34"/>
      <c r="B995" s="34"/>
      <c r="C995" s="34"/>
      <c r="D995" s="32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4.25" customHeight="1" x14ac:dyDescent="0.3">
      <c r="A996" s="34"/>
      <c r="B996" s="34"/>
      <c r="C996" s="34"/>
      <c r="D996" s="32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4.25" customHeight="1" x14ac:dyDescent="0.3">
      <c r="A997" s="34"/>
      <c r="B997" s="34"/>
      <c r="C997" s="34"/>
      <c r="D997" s="32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4.25" customHeight="1" x14ac:dyDescent="0.3">
      <c r="A998" s="34"/>
      <c r="B998" s="34"/>
      <c r="C998" s="34"/>
      <c r="D998" s="32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4.25" customHeight="1" x14ac:dyDescent="0.3">
      <c r="A999" s="34"/>
      <c r="B999" s="34"/>
      <c r="C999" s="34"/>
      <c r="D999" s="32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4.25" customHeight="1" x14ac:dyDescent="0.3">
      <c r="A1000" s="34"/>
      <c r="B1000" s="34"/>
      <c r="C1000" s="34"/>
      <c r="D1000" s="32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1">
    <mergeCell ref="C32:D32"/>
    <mergeCell ref="C40:D40"/>
    <mergeCell ref="C46:D46"/>
    <mergeCell ref="C55:D55"/>
    <mergeCell ref="A2:F2"/>
    <mergeCell ref="A3:F3"/>
    <mergeCell ref="A4:F4"/>
    <mergeCell ref="A5:F5"/>
    <mergeCell ref="C11:E11"/>
    <mergeCell ref="C17:E17"/>
    <mergeCell ref="C23:D23"/>
  </mergeCells>
  <pageMargins left="0.7" right="0.7" top="0.75" bottom="0.75" header="0" footer="0"/>
  <pageSetup paperSize="9" scale="83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4140625" defaultRowHeight="15" customHeight="1" x14ac:dyDescent="0.3"/>
  <cols>
    <col min="1" max="1" width="9.109375" customWidth="1"/>
    <col min="2" max="5" width="17.88671875" customWidth="1"/>
    <col min="6" max="6" width="20.33203125" customWidth="1"/>
    <col min="7" max="7" width="27" customWidth="1"/>
    <col min="8" max="8" width="16.6640625" customWidth="1"/>
    <col min="9" max="26" width="9.109375" customWidth="1"/>
  </cols>
  <sheetData>
    <row r="1" spans="1:26" ht="15.6" x14ac:dyDescent="0.3">
      <c r="A1" s="92"/>
      <c r="B1" s="92"/>
      <c r="C1" s="92"/>
      <c r="D1" s="92"/>
      <c r="E1" s="92"/>
      <c r="F1" s="92"/>
      <c r="G1" s="92"/>
      <c r="H1" s="89" t="s">
        <v>329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6" x14ac:dyDescent="0.3">
      <c r="A2" s="242" t="s">
        <v>284</v>
      </c>
      <c r="B2" s="219"/>
      <c r="C2" s="219"/>
      <c r="D2" s="219"/>
      <c r="E2" s="219"/>
      <c r="F2" s="219"/>
      <c r="G2" s="219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6" x14ac:dyDescent="0.3">
      <c r="A3" s="242" t="s">
        <v>330</v>
      </c>
      <c r="B3" s="219"/>
      <c r="C3" s="219"/>
      <c r="D3" s="219"/>
      <c r="E3" s="219"/>
      <c r="F3" s="219"/>
      <c r="G3" s="21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6" x14ac:dyDescent="0.3">
      <c r="A4" s="242" t="s">
        <v>286</v>
      </c>
      <c r="B4" s="219"/>
      <c r="C4" s="219"/>
      <c r="D4" s="219"/>
      <c r="E4" s="219"/>
      <c r="F4" s="219"/>
      <c r="G4" s="21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6" x14ac:dyDescent="0.3">
      <c r="A5" s="242" t="s">
        <v>287</v>
      </c>
      <c r="B5" s="219"/>
      <c r="C5" s="219"/>
      <c r="D5" s="219"/>
      <c r="E5" s="219"/>
      <c r="F5" s="219"/>
      <c r="G5" s="21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6" x14ac:dyDescent="0.3">
      <c r="A6" s="30"/>
      <c r="B6" s="30"/>
      <c r="C6" s="30"/>
      <c r="D6" s="30"/>
      <c r="E6" s="30"/>
      <c r="F6" s="30"/>
      <c r="G6" s="3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6" x14ac:dyDescent="0.3">
      <c r="A7" s="90" t="s">
        <v>331</v>
      </c>
      <c r="B7" s="30"/>
      <c r="C7" s="30"/>
      <c r="D7" s="30"/>
      <c r="E7" s="30"/>
      <c r="F7" s="30"/>
      <c r="G7" s="3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6" x14ac:dyDescent="0.3">
      <c r="A8" s="92"/>
      <c r="B8" s="92"/>
      <c r="C8" s="92"/>
      <c r="D8" s="92"/>
      <c r="E8" s="92"/>
      <c r="F8" s="92"/>
      <c r="G8" s="9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6" x14ac:dyDescent="0.3">
      <c r="A9" s="106" t="s">
        <v>332</v>
      </c>
      <c r="B9" s="92"/>
      <c r="C9" s="92"/>
      <c r="D9" s="92"/>
      <c r="E9" s="92"/>
      <c r="F9" s="92"/>
      <c r="G9" s="9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6.8" x14ac:dyDescent="0.3">
      <c r="A10" s="267" t="s">
        <v>3</v>
      </c>
      <c r="B10" s="91" t="s">
        <v>333</v>
      </c>
      <c r="C10" s="91" t="s">
        <v>334</v>
      </c>
      <c r="D10" s="91" t="s">
        <v>335</v>
      </c>
      <c r="E10" s="91" t="s">
        <v>336</v>
      </c>
      <c r="F10" s="91" t="s">
        <v>337</v>
      </c>
      <c r="G10" s="91" t="s">
        <v>338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46.8" x14ac:dyDescent="0.3">
      <c r="A11" s="194"/>
      <c r="B11" s="91" t="s">
        <v>339</v>
      </c>
      <c r="C11" s="107" t="s">
        <v>14</v>
      </c>
      <c r="D11" s="107" t="s">
        <v>340</v>
      </c>
      <c r="E11" s="107" t="s">
        <v>145</v>
      </c>
      <c r="F11" s="91" t="s">
        <v>341</v>
      </c>
      <c r="G11" s="91" t="s">
        <v>342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6" x14ac:dyDescent="0.3">
      <c r="A12" s="108">
        <v>1</v>
      </c>
      <c r="B12" s="91"/>
      <c r="C12" s="107"/>
      <c r="D12" s="107"/>
      <c r="E12" s="107"/>
      <c r="F12" s="91"/>
      <c r="G12" s="9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6" x14ac:dyDescent="0.3">
      <c r="A13" s="108">
        <v>2</v>
      </c>
      <c r="B13" s="91"/>
      <c r="C13" s="107"/>
      <c r="D13" s="107"/>
      <c r="E13" s="107"/>
      <c r="F13" s="91"/>
      <c r="G13" s="9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6" x14ac:dyDescent="0.3">
      <c r="A14" s="108">
        <v>3</v>
      </c>
      <c r="B14" s="91"/>
      <c r="C14" s="107"/>
      <c r="D14" s="107"/>
      <c r="E14" s="107"/>
      <c r="F14" s="91"/>
      <c r="G14" s="9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" x14ac:dyDescent="0.3">
      <c r="A15" s="108">
        <v>4</v>
      </c>
      <c r="B15" s="91"/>
      <c r="C15" s="107"/>
      <c r="D15" s="107"/>
      <c r="E15" s="107"/>
      <c r="F15" s="91"/>
      <c r="G15" s="9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6" x14ac:dyDescent="0.3">
      <c r="A16" s="89">
        <v>5</v>
      </c>
      <c r="B16" s="89"/>
      <c r="C16" s="89"/>
      <c r="D16" s="89"/>
      <c r="E16" s="89"/>
      <c r="F16" s="89"/>
      <c r="G16" s="8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x14ac:dyDescent="0.3">
      <c r="A17" s="89" t="s">
        <v>12</v>
      </c>
      <c r="B17" s="89"/>
      <c r="C17" s="89"/>
      <c r="D17" s="89"/>
      <c r="E17" s="89"/>
      <c r="F17" s="89"/>
      <c r="G17" s="8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" x14ac:dyDescent="0.3">
      <c r="A18" s="92"/>
      <c r="B18" s="92"/>
      <c r="C18" s="92"/>
      <c r="D18" s="92"/>
      <c r="E18" s="92"/>
      <c r="F18" s="92"/>
      <c r="G18" s="9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" x14ac:dyDescent="0.3">
      <c r="A19" s="106" t="s">
        <v>343</v>
      </c>
      <c r="B19" s="92"/>
      <c r="C19" s="92"/>
      <c r="D19" s="92"/>
      <c r="E19" s="92"/>
      <c r="F19" s="92"/>
      <c r="G19" s="9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75" customHeight="1" x14ac:dyDescent="0.3">
      <c r="A20" s="266" t="s">
        <v>3</v>
      </c>
      <c r="B20" s="91" t="s">
        <v>344</v>
      </c>
      <c r="C20" s="91" t="s">
        <v>345</v>
      </c>
      <c r="D20" s="91" t="s">
        <v>346</v>
      </c>
      <c r="E20" s="91" t="s">
        <v>347</v>
      </c>
      <c r="F20" s="267" t="s">
        <v>348</v>
      </c>
      <c r="G20" s="9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1.2" x14ac:dyDescent="0.3">
      <c r="A21" s="194"/>
      <c r="B21" s="91" t="s">
        <v>349</v>
      </c>
      <c r="C21" s="107" t="s">
        <v>14</v>
      </c>
      <c r="D21" s="107" t="s">
        <v>340</v>
      </c>
      <c r="E21" s="107" t="s">
        <v>350</v>
      </c>
      <c r="F21" s="194"/>
      <c r="G21" s="9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6" x14ac:dyDescent="0.3">
      <c r="A22" s="108">
        <v>1</v>
      </c>
      <c r="B22" s="91"/>
      <c r="C22" s="107"/>
      <c r="D22" s="107"/>
      <c r="E22" s="107"/>
      <c r="F22" s="91"/>
      <c r="G22" s="9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6" x14ac:dyDescent="0.3">
      <c r="A23" s="108">
        <v>2</v>
      </c>
      <c r="B23" s="91"/>
      <c r="C23" s="107"/>
      <c r="D23" s="107"/>
      <c r="E23" s="107"/>
      <c r="F23" s="91"/>
      <c r="G23" s="9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6" x14ac:dyDescent="0.3">
      <c r="A24" s="108">
        <v>3</v>
      </c>
      <c r="B24" s="91"/>
      <c r="C24" s="107"/>
      <c r="D24" s="107"/>
      <c r="E24" s="107"/>
      <c r="F24" s="91"/>
      <c r="G24" s="9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6" x14ac:dyDescent="0.3">
      <c r="A25" s="108">
        <v>4</v>
      </c>
      <c r="B25" s="91"/>
      <c r="C25" s="107"/>
      <c r="D25" s="107"/>
      <c r="E25" s="107"/>
      <c r="F25" s="91"/>
      <c r="G25" s="9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6" x14ac:dyDescent="0.3">
      <c r="A26" s="89">
        <v>5</v>
      </c>
      <c r="B26" s="89"/>
      <c r="C26" s="89"/>
      <c r="D26" s="89"/>
      <c r="E26" s="89"/>
      <c r="F26" s="89"/>
      <c r="G26" s="9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6" x14ac:dyDescent="0.3">
      <c r="A27" s="89" t="s">
        <v>12</v>
      </c>
      <c r="B27" s="89"/>
      <c r="C27" s="89"/>
      <c r="D27" s="89"/>
      <c r="E27" s="89"/>
      <c r="F27" s="89"/>
      <c r="G27" s="9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6" x14ac:dyDescent="0.3">
      <c r="A28" s="92"/>
      <c r="B28" s="92"/>
      <c r="C28" s="92"/>
      <c r="D28" s="92"/>
      <c r="E28" s="92"/>
      <c r="F28" s="92"/>
      <c r="G28" s="9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6" x14ac:dyDescent="0.3">
      <c r="A29" s="106" t="s">
        <v>351</v>
      </c>
      <c r="B29" s="92"/>
      <c r="C29" s="92"/>
      <c r="D29" s="92"/>
      <c r="E29" s="92"/>
      <c r="F29" s="92"/>
      <c r="G29" s="9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60" customHeight="1" x14ac:dyDescent="0.3">
      <c r="A30" s="266" t="s">
        <v>3</v>
      </c>
      <c r="B30" s="91" t="s">
        <v>352</v>
      </c>
      <c r="C30" s="91" t="s">
        <v>345</v>
      </c>
      <c r="D30" s="91" t="s">
        <v>346</v>
      </c>
      <c r="E30" s="91" t="s">
        <v>347</v>
      </c>
      <c r="F30" s="91" t="s">
        <v>348</v>
      </c>
      <c r="G30" s="266" t="s">
        <v>353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46.8" x14ac:dyDescent="0.3">
      <c r="A31" s="194"/>
      <c r="B31" s="91" t="s">
        <v>354</v>
      </c>
      <c r="C31" s="107" t="s">
        <v>14</v>
      </c>
      <c r="D31" s="107" t="s">
        <v>355</v>
      </c>
      <c r="E31" s="107" t="s">
        <v>350</v>
      </c>
      <c r="F31" s="91" t="s">
        <v>356</v>
      </c>
      <c r="G31" s="194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6" x14ac:dyDescent="0.3">
      <c r="A32" s="108">
        <v>1</v>
      </c>
      <c r="B32" s="91"/>
      <c r="C32" s="107"/>
      <c r="D32" s="107"/>
      <c r="E32" s="107"/>
      <c r="F32" s="91"/>
      <c r="G32" s="10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6" x14ac:dyDescent="0.3">
      <c r="A33" s="108">
        <v>2</v>
      </c>
      <c r="B33" s="91"/>
      <c r="C33" s="107"/>
      <c r="D33" s="107"/>
      <c r="E33" s="107"/>
      <c r="F33" s="91"/>
      <c r="G33" s="10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6" x14ac:dyDescent="0.3">
      <c r="A34" s="108">
        <v>3</v>
      </c>
      <c r="B34" s="91"/>
      <c r="C34" s="107"/>
      <c r="D34" s="107"/>
      <c r="E34" s="107"/>
      <c r="F34" s="91"/>
      <c r="G34" s="10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6" x14ac:dyDescent="0.3">
      <c r="A35" s="108">
        <v>4</v>
      </c>
      <c r="B35" s="91"/>
      <c r="C35" s="107"/>
      <c r="D35" s="107"/>
      <c r="E35" s="107"/>
      <c r="F35" s="91"/>
      <c r="G35" s="10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6" x14ac:dyDescent="0.3">
      <c r="A36" s="89">
        <v>5</v>
      </c>
      <c r="B36" s="89"/>
      <c r="C36" s="89"/>
      <c r="D36" s="89"/>
      <c r="E36" s="89"/>
      <c r="F36" s="89"/>
      <c r="G36" s="8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6" x14ac:dyDescent="0.3">
      <c r="A37" s="89" t="s">
        <v>12</v>
      </c>
      <c r="B37" s="89"/>
      <c r="C37" s="89"/>
      <c r="D37" s="89"/>
      <c r="E37" s="89"/>
      <c r="F37" s="89"/>
      <c r="G37" s="8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6" x14ac:dyDescent="0.3">
      <c r="A38" s="92"/>
      <c r="B38" s="92"/>
      <c r="C38" s="92"/>
      <c r="D38" s="92"/>
      <c r="E38" s="92"/>
      <c r="F38" s="92"/>
      <c r="G38" s="9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6" x14ac:dyDescent="0.3">
      <c r="A39" s="92"/>
      <c r="B39" s="92"/>
      <c r="C39" s="92"/>
      <c r="D39" s="92"/>
      <c r="E39" s="92"/>
      <c r="F39" s="92"/>
      <c r="G39" s="9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6" x14ac:dyDescent="0.3">
      <c r="A40" s="92"/>
      <c r="B40" s="92"/>
      <c r="C40" s="92"/>
      <c r="D40" s="92"/>
      <c r="E40" s="92"/>
      <c r="F40" s="92"/>
      <c r="G40" s="9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6" x14ac:dyDescent="0.3">
      <c r="A41" s="92"/>
      <c r="B41" s="92"/>
      <c r="C41" s="92"/>
      <c r="D41" s="92"/>
      <c r="E41" s="92"/>
      <c r="F41" s="92"/>
      <c r="G41" s="9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6" x14ac:dyDescent="0.3">
      <c r="A42" s="92"/>
      <c r="B42" s="92"/>
      <c r="C42" s="92"/>
      <c r="D42" s="92"/>
      <c r="E42" s="92"/>
      <c r="F42" s="92"/>
      <c r="G42" s="9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6" x14ac:dyDescent="0.3">
      <c r="A43" s="92"/>
      <c r="B43" s="92"/>
      <c r="C43" s="92"/>
      <c r="D43" s="92"/>
      <c r="E43" s="92"/>
      <c r="F43" s="92"/>
      <c r="G43" s="9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6" x14ac:dyDescent="0.3">
      <c r="A44" s="92"/>
      <c r="B44" s="92"/>
      <c r="C44" s="92"/>
      <c r="D44" s="92"/>
      <c r="E44" s="92"/>
      <c r="F44" s="92"/>
      <c r="G44" s="9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6" x14ac:dyDescent="0.3">
      <c r="A45" s="92"/>
      <c r="B45" s="92"/>
      <c r="C45" s="92"/>
      <c r="D45" s="92"/>
      <c r="E45" s="92"/>
      <c r="F45" s="92"/>
      <c r="G45" s="9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6" x14ac:dyDescent="0.3">
      <c r="A46" s="92"/>
      <c r="B46" s="92"/>
      <c r="C46" s="92"/>
      <c r="D46" s="92"/>
      <c r="E46" s="92"/>
      <c r="F46" s="92"/>
      <c r="G46" s="9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6" x14ac:dyDescent="0.3">
      <c r="A47" s="92"/>
      <c r="B47" s="92"/>
      <c r="C47" s="92"/>
      <c r="D47" s="92"/>
      <c r="E47" s="92"/>
      <c r="F47" s="92"/>
      <c r="G47" s="9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6" x14ac:dyDescent="0.3">
      <c r="A48" s="92"/>
      <c r="B48" s="92"/>
      <c r="C48" s="92"/>
      <c r="D48" s="92"/>
      <c r="E48" s="92"/>
      <c r="F48" s="92"/>
      <c r="G48" s="9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6" x14ac:dyDescent="0.3">
      <c r="A49" s="92"/>
      <c r="B49" s="92"/>
      <c r="C49" s="92"/>
      <c r="D49" s="92"/>
      <c r="E49" s="92"/>
      <c r="F49" s="92"/>
      <c r="G49" s="9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6" x14ac:dyDescent="0.3">
      <c r="A50" s="92"/>
      <c r="B50" s="92"/>
      <c r="C50" s="92"/>
      <c r="D50" s="92"/>
      <c r="E50" s="92"/>
      <c r="F50" s="92"/>
      <c r="G50" s="9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6" x14ac:dyDescent="0.3">
      <c r="A51" s="92"/>
      <c r="B51" s="92"/>
      <c r="C51" s="92"/>
      <c r="D51" s="92"/>
      <c r="E51" s="92"/>
      <c r="F51" s="92"/>
      <c r="G51" s="9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6" x14ac:dyDescent="0.3">
      <c r="A52" s="92"/>
      <c r="B52" s="92"/>
      <c r="C52" s="92"/>
      <c r="D52" s="92"/>
      <c r="E52" s="92"/>
      <c r="F52" s="92"/>
      <c r="G52" s="9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6" x14ac:dyDescent="0.3">
      <c r="A53" s="92"/>
      <c r="B53" s="92"/>
      <c r="C53" s="92"/>
      <c r="D53" s="92"/>
      <c r="E53" s="92"/>
      <c r="F53" s="92"/>
      <c r="G53" s="9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6" x14ac:dyDescent="0.3">
      <c r="A54" s="92"/>
      <c r="B54" s="92"/>
      <c r="C54" s="92"/>
      <c r="D54" s="92"/>
      <c r="E54" s="92"/>
      <c r="F54" s="92"/>
      <c r="G54" s="9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6" x14ac:dyDescent="0.3">
      <c r="A55" s="92"/>
      <c r="B55" s="92"/>
      <c r="C55" s="92"/>
      <c r="D55" s="92"/>
      <c r="E55" s="92"/>
      <c r="F55" s="92"/>
      <c r="G55" s="9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6" x14ac:dyDescent="0.3">
      <c r="A56" s="92"/>
      <c r="B56" s="92"/>
      <c r="C56" s="92"/>
      <c r="D56" s="92"/>
      <c r="E56" s="92"/>
      <c r="F56" s="92"/>
      <c r="G56" s="9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6" x14ac:dyDescent="0.3">
      <c r="A57" s="92"/>
      <c r="B57" s="92"/>
      <c r="C57" s="92"/>
      <c r="D57" s="92"/>
      <c r="E57" s="92"/>
      <c r="F57" s="92"/>
      <c r="G57" s="9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6" x14ac:dyDescent="0.3">
      <c r="A58" s="92"/>
      <c r="B58" s="92"/>
      <c r="C58" s="92"/>
      <c r="D58" s="92"/>
      <c r="E58" s="92"/>
      <c r="F58" s="92"/>
      <c r="G58" s="9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6" x14ac:dyDescent="0.3">
      <c r="A59" s="92"/>
      <c r="B59" s="92"/>
      <c r="C59" s="92"/>
      <c r="D59" s="92"/>
      <c r="E59" s="92"/>
      <c r="F59" s="92"/>
      <c r="G59" s="9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6" x14ac:dyDescent="0.3">
      <c r="A60" s="92"/>
      <c r="B60" s="92"/>
      <c r="C60" s="92"/>
      <c r="D60" s="92"/>
      <c r="E60" s="92"/>
      <c r="F60" s="92"/>
      <c r="G60" s="9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6" x14ac:dyDescent="0.3">
      <c r="A61" s="92"/>
      <c r="B61" s="92"/>
      <c r="C61" s="92"/>
      <c r="D61" s="92"/>
      <c r="E61" s="92"/>
      <c r="F61" s="92"/>
      <c r="G61" s="9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6" x14ac:dyDescent="0.3">
      <c r="A62" s="92"/>
      <c r="B62" s="92"/>
      <c r="C62" s="92"/>
      <c r="D62" s="92"/>
      <c r="E62" s="92"/>
      <c r="F62" s="92"/>
      <c r="G62" s="9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6" x14ac:dyDescent="0.3">
      <c r="A63" s="92"/>
      <c r="B63" s="92"/>
      <c r="C63" s="92"/>
      <c r="D63" s="92"/>
      <c r="E63" s="92"/>
      <c r="F63" s="92"/>
      <c r="G63" s="9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6" x14ac:dyDescent="0.3">
      <c r="A64" s="92"/>
      <c r="B64" s="92"/>
      <c r="C64" s="92"/>
      <c r="D64" s="92"/>
      <c r="E64" s="92"/>
      <c r="F64" s="92"/>
      <c r="G64" s="9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6" x14ac:dyDescent="0.3">
      <c r="A65" s="92"/>
      <c r="B65" s="92"/>
      <c r="C65" s="92"/>
      <c r="D65" s="92"/>
      <c r="E65" s="92"/>
      <c r="F65" s="92"/>
      <c r="G65" s="9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6" x14ac:dyDescent="0.3">
      <c r="A66" s="92"/>
      <c r="B66" s="92"/>
      <c r="C66" s="92"/>
      <c r="D66" s="92"/>
      <c r="E66" s="92"/>
      <c r="F66" s="92"/>
      <c r="G66" s="9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6" x14ac:dyDescent="0.3">
      <c r="A67" s="92"/>
      <c r="B67" s="92"/>
      <c r="C67" s="92"/>
      <c r="D67" s="92"/>
      <c r="E67" s="92"/>
      <c r="F67" s="92"/>
      <c r="G67" s="9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6" x14ac:dyDescent="0.3">
      <c r="A68" s="92"/>
      <c r="B68" s="92"/>
      <c r="C68" s="92"/>
      <c r="D68" s="92"/>
      <c r="E68" s="92"/>
      <c r="F68" s="92"/>
      <c r="G68" s="9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6" x14ac:dyDescent="0.3">
      <c r="A69" s="92"/>
      <c r="B69" s="92"/>
      <c r="C69" s="92"/>
      <c r="D69" s="92"/>
      <c r="E69" s="92"/>
      <c r="F69" s="92"/>
      <c r="G69" s="9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6" x14ac:dyDescent="0.3">
      <c r="A70" s="92"/>
      <c r="B70" s="92"/>
      <c r="C70" s="92"/>
      <c r="D70" s="92"/>
      <c r="E70" s="92"/>
      <c r="F70" s="92"/>
      <c r="G70" s="9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6" x14ac:dyDescent="0.3">
      <c r="A71" s="92"/>
      <c r="B71" s="92"/>
      <c r="C71" s="92"/>
      <c r="D71" s="92"/>
      <c r="E71" s="92"/>
      <c r="F71" s="92"/>
      <c r="G71" s="9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6" x14ac:dyDescent="0.3">
      <c r="A72" s="92"/>
      <c r="B72" s="92"/>
      <c r="C72" s="92"/>
      <c r="D72" s="92"/>
      <c r="E72" s="92"/>
      <c r="F72" s="92"/>
      <c r="G72" s="9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6" x14ac:dyDescent="0.3">
      <c r="A73" s="92"/>
      <c r="B73" s="92"/>
      <c r="C73" s="92"/>
      <c r="D73" s="92"/>
      <c r="E73" s="92"/>
      <c r="F73" s="92"/>
      <c r="G73" s="9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6" x14ac:dyDescent="0.3">
      <c r="A74" s="92"/>
      <c r="B74" s="92"/>
      <c r="C74" s="92"/>
      <c r="D74" s="92"/>
      <c r="E74" s="92"/>
      <c r="F74" s="92"/>
      <c r="G74" s="9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6" x14ac:dyDescent="0.3">
      <c r="A75" s="92"/>
      <c r="B75" s="92"/>
      <c r="C75" s="92"/>
      <c r="D75" s="92"/>
      <c r="E75" s="92"/>
      <c r="F75" s="92"/>
      <c r="G75" s="9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6" x14ac:dyDescent="0.3">
      <c r="A76" s="92"/>
      <c r="B76" s="92"/>
      <c r="C76" s="92"/>
      <c r="D76" s="92"/>
      <c r="E76" s="92"/>
      <c r="F76" s="92"/>
      <c r="G76" s="9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6" x14ac:dyDescent="0.3">
      <c r="A77" s="92"/>
      <c r="B77" s="92"/>
      <c r="C77" s="92"/>
      <c r="D77" s="92"/>
      <c r="E77" s="92"/>
      <c r="F77" s="92"/>
      <c r="G77" s="9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6" x14ac:dyDescent="0.3">
      <c r="A78" s="92"/>
      <c r="B78" s="92"/>
      <c r="C78" s="92"/>
      <c r="D78" s="92"/>
      <c r="E78" s="92"/>
      <c r="F78" s="92"/>
      <c r="G78" s="9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6" x14ac:dyDescent="0.3">
      <c r="A79" s="92"/>
      <c r="B79" s="92"/>
      <c r="C79" s="92"/>
      <c r="D79" s="92"/>
      <c r="E79" s="92"/>
      <c r="F79" s="92"/>
      <c r="G79" s="9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6" x14ac:dyDescent="0.3">
      <c r="A80" s="92"/>
      <c r="B80" s="92"/>
      <c r="C80" s="92"/>
      <c r="D80" s="92"/>
      <c r="E80" s="92"/>
      <c r="F80" s="92"/>
      <c r="G80" s="9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6" x14ac:dyDescent="0.3">
      <c r="A81" s="92"/>
      <c r="B81" s="92"/>
      <c r="C81" s="92"/>
      <c r="D81" s="92"/>
      <c r="E81" s="92"/>
      <c r="F81" s="92"/>
      <c r="G81" s="9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6" x14ac:dyDescent="0.3">
      <c r="A82" s="92"/>
      <c r="B82" s="92"/>
      <c r="C82" s="92"/>
      <c r="D82" s="92"/>
      <c r="E82" s="92"/>
      <c r="F82" s="92"/>
      <c r="G82" s="9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6" x14ac:dyDescent="0.3">
      <c r="A83" s="92"/>
      <c r="B83" s="92"/>
      <c r="C83" s="92"/>
      <c r="D83" s="92"/>
      <c r="E83" s="92"/>
      <c r="F83" s="92"/>
      <c r="G83" s="9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6" x14ac:dyDescent="0.3">
      <c r="A84" s="92"/>
      <c r="B84" s="92"/>
      <c r="C84" s="92"/>
      <c r="D84" s="92"/>
      <c r="E84" s="92"/>
      <c r="F84" s="92"/>
      <c r="G84" s="9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6" x14ac:dyDescent="0.3">
      <c r="A85" s="92"/>
      <c r="B85" s="92"/>
      <c r="C85" s="92"/>
      <c r="D85" s="92"/>
      <c r="E85" s="92"/>
      <c r="F85" s="92"/>
      <c r="G85" s="9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6" x14ac:dyDescent="0.3">
      <c r="A86" s="92"/>
      <c r="B86" s="92"/>
      <c r="C86" s="92"/>
      <c r="D86" s="92"/>
      <c r="E86" s="92"/>
      <c r="F86" s="92"/>
      <c r="G86" s="9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6" x14ac:dyDescent="0.3">
      <c r="A87" s="92"/>
      <c r="B87" s="92"/>
      <c r="C87" s="92"/>
      <c r="D87" s="92"/>
      <c r="E87" s="92"/>
      <c r="F87" s="92"/>
      <c r="G87" s="9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6" x14ac:dyDescent="0.3">
      <c r="A88" s="92"/>
      <c r="B88" s="92"/>
      <c r="C88" s="92"/>
      <c r="D88" s="92"/>
      <c r="E88" s="92"/>
      <c r="F88" s="92"/>
      <c r="G88" s="9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6" x14ac:dyDescent="0.3">
      <c r="A89" s="92"/>
      <c r="B89" s="92"/>
      <c r="C89" s="92"/>
      <c r="D89" s="92"/>
      <c r="E89" s="92"/>
      <c r="F89" s="92"/>
      <c r="G89" s="9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6" x14ac:dyDescent="0.3">
      <c r="A90" s="92"/>
      <c r="B90" s="92"/>
      <c r="C90" s="92"/>
      <c r="D90" s="92"/>
      <c r="E90" s="92"/>
      <c r="F90" s="92"/>
      <c r="G90" s="9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6" x14ac:dyDescent="0.3">
      <c r="A91" s="92"/>
      <c r="B91" s="92"/>
      <c r="C91" s="92"/>
      <c r="D91" s="92"/>
      <c r="E91" s="92"/>
      <c r="F91" s="92"/>
      <c r="G91" s="9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6" x14ac:dyDescent="0.3">
      <c r="A92" s="92"/>
      <c r="B92" s="92"/>
      <c r="C92" s="92"/>
      <c r="D92" s="92"/>
      <c r="E92" s="92"/>
      <c r="F92" s="92"/>
      <c r="G92" s="9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6" x14ac:dyDescent="0.3">
      <c r="A93" s="92"/>
      <c r="B93" s="92"/>
      <c r="C93" s="92"/>
      <c r="D93" s="92"/>
      <c r="E93" s="92"/>
      <c r="F93" s="92"/>
      <c r="G93" s="9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6" x14ac:dyDescent="0.3">
      <c r="A94" s="92"/>
      <c r="B94" s="92"/>
      <c r="C94" s="92"/>
      <c r="D94" s="92"/>
      <c r="E94" s="92"/>
      <c r="F94" s="92"/>
      <c r="G94" s="9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6" x14ac:dyDescent="0.3">
      <c r="A95" s="92"/>
      <c r="B95" s="92"/>
      <c r="C95" s="92"/>
      <c r="D95" s="92"/>
      <c r="E95" s="92"/>
      <c r="F95" s="92"/>
      <c r="G95" s="9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6" x14ac:dyDescent="0.3">
      <c r="A96" s="92"/>
      <c r="B96" s="92"/>
      <c r="C96" s="92"/>
      <c r="D96" s="92"/>
      <c r="E96" s="92"/>
      <c r="F96" s="92"/>
      <c r="G96" s="9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6" x14ac:dyDescent="0.3">
      <c r="A97" s="92"/>
      <c r="B97" s="92"/>
      <c r="C97" s="92"/>
      <c r="D97" s="92"/>
      <c r="E97" s="92"/>
      <c r="F97" s="92"/>
      <c r="G97" s="9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6" x14ac:dyDescent="0.3">
      <c r="A98" s="92"/>
      <c r="B98" s="92"/>
      <c r="C98" s="92"/>
      <c r="D98" s="92"/>
      <c r="E98" s="92"/>
      <c r="F98" s="92"/>
      <c r="G98" s="9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6" x14ac:dyDescent="0.3">
      <c r="A99" s="92"/>
      <c r="B99" s="92"/>
      <c r="C99" s="92"/>
      <c r="D99" s="92"/>
      <c r="E99" s="92"/>
      <c r="F99" s="92"/>
      <c r="G99" s="9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6" x14ac:dyDescent="0.3">
      <c r="A100" s="92"/>
      <c r="B100" s="92"/>
      <c r="C100" s="92"/>
      <c r="D100" s="92"/>
      <c r="E100" s="92"/>
      <c r="F100" s="92"/>
      <c r="G100" s="9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6" x14ac:dyDescent="0.3">
      <c r="A101" s="92"/>
      <c r="B101" s="92"/>
      <c r="C101" s="92"/>
      <c r="D101" s="92"/>
      <c r="E101" s="92"/>
      <c r="F101" s="92"/>
      <c r="G101" s="9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6" x14ac:dyDescent="0.3">
      <c r="A102" s="92"/>
      <c r="B102" s="92"/>
      <c r="C102" s="92"/>
      <c r="D102" s="92"/>
      <c r="E102" s="92"/>
      <c r="F102" s="92"/>
      <c r="G102" s="9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6" x14ac:dyDescent="0.3">
      <c r="A103" s="92"/>
      <c r="B103" s="92"/>
      <c r="C103" s="92"/>
      <c r="D103" s="92"/>
      <c r="E103" s="92"/>
      <c r="F103" s="92"/>
      <c r="G103" s="9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6" x14ac:dyDescent="0.3">
      <c r="A104" s="92"/>
      <c r="B104" s="92"/>
      <c r="C104" s="92"/>
      <c r="D104" s="92"/>
      <c r="E104" s="92"/>
      <c r="F104" s="92"/>
      <c r="G104" s="9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6" x14ac:dyDescent="0.3">
      <c r="A105" s="92"/>
      <c r="B105" s="92"/>
      <c r="C105" s="92"/>
      <c r="D105" s="92"/>
      <c r="E105" s="92"/>
      <c r="F105" s="92"/>
      <c r="G105" s="9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6" x14ac:dyDescent="0.3">
      <c r="A106" s="92"/>
      <c r="B106" s="92"/>
      <c r="C106" s="92"/>
      <c r="D106" s="92"/>
      <c r="E106" s="92"/>
      <c r="F106" s="92"/>
      <c r="G106" s="9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6" x14ac:dyDescent="0.3">
      <c r="A107" s="92"/>
      <c r="B107" s="92"/>
      <c r="C107" s="92"/>
      <c r="D107" s="92"/>
      <c r="E107" s="92"/>
      <c r="F107" s="92"/>
      <c r="G107" s="9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6" x14ac:dyDescent="0.3">
      <c r="A108" s="92"/>
      <c r="B108" s="92"/>
      <c r="C108" s="92"/>
      <c r="D108" s="92"/>
      <c r="E108" s="92"/>
      <c r="F108" s="92"/>
      <c r="G108" s="9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6" x14ac:dyDescent="0.3">
      <c r="A109" s="92"/>
      <c r="B109" s="92"/>
      <c r="C109" s="92"/>
      <c r="D109" s="92"/>
      <c r="E109" s="92"/>
      <c r="F109" s="92"/>
      <c r="G109" s="9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6" x14ac:dyDescent="0.3">
      <c r="A110" s="92"/>
      <c r="B110" s="92"/>
      <c r="C110" s="92"/>
      <c r="D110" s="92"/>
      <c r="E110" s="92"/>
      <c r="F110" s="92"/>
      <c r="G110" s="9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6" x14ac:dyDescent="0.3">
      <c r="A111" s="92"/>
      <c r="B111" s="92"/>
      <c r="C111" s="92"/>
      <c r="D111" s="92"/>
      <c r="E111" s="92"/>
      <c r="F111" s="92"/>
      <c r="G111" s="9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6" x14ac:dyDescent="0.3">
      <c r="A112" s="92"/>
      <c r="B112" s="92"/>
      <c r="C112" s="92"/>
      <c r="D112" s="92"/>
      <c r="E112" s="92"/>
      <c r="F112" s="92"/>
      <c r="G112" s="9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6" x14ac:dyDescent="0.3">
      <c r="A113" s="92"/>
      <c r="B113" s="92"/>
      <c r="C113" s="92"/>
      <c r="D113" s="92"/>
      <c r="E113" s="92"/>
      <c r="F113" s="92"/>
      <c r="G113" s="9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6" x14ac:dyDescent="0.3">
      <c r="A114" s="92"/>
      <c r="B114" s="92"/>
      <c r="C114" s="92"/>
      <c r="D114" s="92"/>
      <c r="E114" s="92"/>
      <c r="F114" s="92"/>
      <c r="G114" s="9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6" x14ac:dyDescent="0.3">
      <c r="A115" s="92"/>
      <c r="B115" s="92"/>
      <c r="C115" s="92"/>
      <c r="D115" s="92"/>
      <c r="E115" s="92"/>
      <c r="F115" s="92"/>
      <c r="G115" s="9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6" x14ac:dyDescent="0.3">
      <c r="A116" s="92"/>
      <c r="B116" s="92"/>
      <c r="C116" s="92"/>
      <c r="D116" s="92"/>
      <c r="E116" s="92"/>
      <c r="F116" s="92"/>
      <c r="G116" s="9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6" x14ac:dyDescent="0.3">
      <c r="A117" s="92"/>
      <c r="B117" s="92"/>
      <c r="C117" s="92"/>
      <c r="D117" s="92"/>
      <c r="E117" s="92"/>
      <c r="F117" s="92"/>
      <c r="G117" s="9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6" x14ac:dyDescent="0.3">
      <c r="A118" s="92"/>
      <c r="B118" s="92"/>
      <c r="C118" s="92"/>
      <c r="D118" s="92"/>
      <c r="E118" s="92"/>
      <c r="F118" s="92"/>
      <c r="G118" s="9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6" x14ac:dyDescent="0.3">
      <c r="A119" s="92"/>
      <c r="B119" s="92"/>
      <c r="C119" s="92"/>
      <c r="D119" s="92"/>
      <c r="E119" s="92"/>
      <c r="F119" s="92"/>
      <c r="G119" s="9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6" x14ac:dyDescent="0.3">
      <c r="A120" s="92"/>
      <c r="B120" s="92"/>
      <c r="C120" s="92"/>
      <c r="D120" s="92"/>
      <c r="E120" s="92"/>
      <c r="F120" s="92"/>
      <c r="G120" s="9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6" x14ac:dyDescent="0.3">
      <c r="A121" s="92"/>
      <c r="B121" s="92"/>
      <c r="C121" s="92"/>
      <c r="D121" s="92"/>
      <c r="E121" s="92"/>
      <c r="F121" s="92"/>
      <c r="G121" s="9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6" x14ac:dyDescent="0.3">
      <c r="A122" s="92"/>
      <c r="B122" s="92"/>
      <c r="C122" s="92"/>
      <c r="D122" s="92"/>
      <c r="E122" s="92"/>
      <c r="F122" s="92"/>
      <c r="G122" s="9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6" x14ac:dyDescent="0.3">
      <c r="A123" s="92"/>
      <c r="B123" s="92"/>
      <c r="C123" s="92"/>
      <c r="D123" s="92"/>
      <c r="E123" s="92"/>
      <c r="F123" s="92"/>
      <c r="G123" s="9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6" x14ac:dyDescent="0.3">
      <c r="A124" s="92"/>
      <c r="B124" s="92"/>
      <c r="C124" s="92"/>
      <c r="D124" s="92"/>
      <c r="E124" s="92"/>
      <c r="F124" s="92"/>
      <c r="G124" s="9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6" x14ac:dyDescent="0.3">
      <c r="A125" s="92"/>
      <c r="B125" s="92"/>
      <c r="C125" s="92"/>
      <c r="D125" s="92"/>
      <c r="E125" s="92"/>
      <c r="F125" s="92"/>
      <c r="G125" s="9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6" x14ac:dyDescent="0.3">
      <c r="A126" s="92"/>
      <c r="B126" s="92"/>
      <c r="C126" s="92"/>
      <c r="D126" s="92"/>
      <c r="E126" s="92"/>
      <c r="F126" s="92"/>
      <c r="G126" s="9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6" x14ac:dyDescent="0.3">
      <c r="A127" s="92"/>
      <c r="B127" s="92"/>
      <c r="C127" s="92"/>
      <c r="D127" s="92"/>
      <c r="E127" s="92"/>
      <c r="F127" s="92"/>
      <c r="G127" s="9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6" x14ac:dyDescent="0.3">
      <c r="A128" s="92"/>
      <c r="B128" s="92"/>
      <c r="C128" s="92"/>
      <c r="D128" s="92"/>
      <c r="E128" s="92"/>
      <c r="F128" s="92"/>
      <c r="G128" s="9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6" x14ac:dyDescent="0.3">
      <c r="A129" s="92"/>
      <c r="B129" s="92"/>
      <c r="C129" s="92"/>
      <c r="D129" s="92"/>
      <c r="E129" s="92"/>
      <c r="F129" s="92"/>
      <c r="G129" s="9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6" x14ac:dyDescent="0.3">
      <c r="A130" s="92"/>
      <c r="B130" s="92"/>
      <c r="C130" s="92"/>
      <c r="D130" s="92"/>
      <c r="E130" s="92"/>
      <c r="F130" s="92"/>
      <c r="G130" s="9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6" x14ac:dyDescent="0.3">
      <c r="A131" s="92"/>
      <c r="B131" s="92"/>
      <c r="C131" s="92"/>
      <c r="D131" s="92"/>
      <c r="E131" s="92"/>
      <c r="F131" s="92"/>
      <c r="G131" s="9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6" x14ac:dyDescent="0.3">
      <c r="A132" s="92"/>
      <c r="B132" s="92"/>
      <c r="C132" s="92"/>
      <c r="D132" s="92"/>
      <c r="E132" s="92"/>
      <c r="F132" s="92"/>
      <c r="G132" s="9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6" x14ac:dyDescent="0.3">
      <c r="A133" s="92"/>
      <c r="B133" s="92"/>
      <c r="C133" s="92"/>
      <c r="D133" s="92"/>
      <c r="E133" s="92"/>
      <c r="F133" s="92"/>
      <c r="G133" s="9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6" x14ac:dyDescent="0.3">
      <c r="A134" s="92"/>
      <c r="B134" s="92"/>
      <c r="C134" s="92"/>
      <c r="D134" s="92"/>
      <c r="E134" s="92"/>
      <c r="F134" s="92"/>
      <c r="G134" s="9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6" x14ac:dyDescent="0.3">
      <c r="A135" s="92"/>
      <c r="B135" s="92"/>
      <c r="C135" s="92"/>
      <c r="D135" s="92"/>
      <c r="E135" s="92"/>
      <c r="F135" s="92"/>
      <c r="G135" s="9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6" x14ac:dyDescent="0.3">
      <c r="A136" s="92"/>
      <c r="B136" s="92"/>
      <c r="C136" s="92"/>
      <c r="D136" s="92"/>
      <c r="E136" s="92"/>
      <c r="F136" s="92"/>
      <c r="G136" s="9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6" x14ac:dyDescent="0.3">
      <c r="A137" s="92"/>
      <c r="B137" s="92"/>
      <c r="C137" s="92"/>
      <c r="D137" s="92"/>
      <c r="E137" s="92"/>
      <c r="F137" s="92"/>
      <c r="G137" s="9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6" x14ac:dyDescent="0.3">
      <c r="A138" s="92"/>
      <c r="B138" s="92"/>
      <c r="C138" s="92"/>
      <c r="D138" s="92"/>
      <c r="E138" s="92"/>
      <c r="F138" s="92"/>
      <c r="G138" s="9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6" x14ac:dyDescent="0.3">
      <c r="A139" s="92"/>
      <c r="B139" s="92"/>
      <c r="C139" s="92"/>
      <c r="D139" s="92"/>
      <c r="E139" s="92"/>
      <c r="F139" s="92"/>
      <c r="G139" s="9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6" x14ac:dyDescent="0.3">
      <c r="A140" s="92"/>
      <c r="B140" s="92"/>
      <c r="C140" s="92"/>
      <c r="D140" s="92"/>
      <c r="E140" s="92"/>
      <c r="F140" s="92"/>
      <c r="G140" s="9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6" x14ac:dyDescent="0.3">
      <c r="A141" s="92"/>
      <c r="B141" s="92"/>
      <c r="C141" s="92"/>
      <c r="D141" s="92"/>
      <c r="E141" s="92"/>
      <c r="F141" s="92"/>
      <c r="G141" s="9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6" x14ac:dyDescent="0.3">
      <c r="A142" s="92"/>
      <c r="B142" s="92"/>
      <c r="C142" s="92"/>
      <c r="D142" s="92"/>
      <c r="E142" s="92"/>
      <c r="F142" s="92"/>
      <c r="G142" s="9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6" x14ac:dyDescent="0.3">
      <c r="A143" s="92"/>
      <c r="B143" s="92"/>
      <c r="C143" s="92"/>
      <c r="D143" s="92"/>
      <c r="E143" s="92"/>
      <c r="F143" s="92"/>
      <c r="G143" s="9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6" x14ac:dyDescent="0.3">
      <c r="A144" s="92"/>
      <c r="B144" s="92"/>
      <c r="C144" s="92"/>
      <c r="D144" s="92"/>
      <c r="E144" s="92"/>
      <c r="F144" s="92"/>
      <c r="G144" s="9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6" x14ac:dyDescent="0.3">
      <c r="A145" s="92"/>
      <c r="B145" s="92"/>
      <c r="C145" s="92"/>
      <c r="D145" s="92"/>
      <c r="E145" s="92"/>
      <c r="F145" s="92"/>
      <c r="G145" s="9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6" x14ac:dyDescent="0.3">
      <c r="A146" s="92"/>
      <c r="B146" s="92"/>
      <c r="C146" s="92"/>
      <c r="D146" s="92"/>
      <c r="E146" s="92"/>
      <c r="F146" s="92"/>
      <c r="G146" s="9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6" x14ac:dyDescent="0.3">
      <c r="A147" s="92"/>
      <c r="B147" s="92"/>
      <c r="C147" s="92"/>
      <c r="D147" s="92"/>
      <c r="E147" s="92"/>
      <c r="F147" s="92"/>
      <c r="G147" s="9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6" x14ac:dyDescent="0.3">
      <c r="A148" s="92"/>
      <c r="B148" s="92"/>
      <c r="C148" s="92"/>
      <c r="D148" s="92"/>
      <c r="E148" s="92"/>
      <c r="F148" s="92"/>
      <c r="G148" s="9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6" x14ac:dyDescent="0.3">
      <c r="A149" s="92"/>
      <c r="B149" s="92"/>
      <c r="C149" s="92"/>
      <c r="D149" s="92"/>
      <c r="E149" s="92"/>
      <c r="F149" s="92"/>
      <c r="G149" s="9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6" x14ac:dyDescent="0.3">
      <c r="A150" s="92"/>
      <c r="B150" s="92"/>
      <c r="C150" s="92"/>
      <c r="D150" s="92"/>
      <c r="E150" s="92"/>
      <c r="F150" s="92"/>
      <c r="G150" s="9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6" x14ac:dyDescent="0.3">
      <c r="A151" s="92"/>
      <c r="B151" s="92"/>
      <c r="C151" s="92"/>
      <c r="D151" s="92"/>
      <c r="E151" s="92"/>
      <c r="F151" s="92"/>
      <c r="G151" s="9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6" x14ac:dyDescent="0.3">
      <c r="A152" s="92"/>
      <c r="B152" s="92"/>
      <c r="C152" s="92"/>
      <c r="D152" s="92"/>
      <c r="E152" s="92"/>
      <c r="F152" s="92"/>
      <c r="G152" s="9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6" x14ac:dyDescent="0.3">
      <c r="A153" s="92"/>
      <c r="B153" s="92"/>
      <c r="C153" s="92"/>
      <c r="D153" s="92"/>
      <c r="E153" s="92"/>
      <c r="F153" s="92"/>
      <c r="G153" s="9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6" x14ac:dyDescent="0.3">
      <c r="A154" s="92"/>
      <c r="B154" s="92"/>
      <c r="C154" s="92"/>
      <c r="D154" s="92"/>
      <c r="E154" s="92"/>
      <c r="F154" s="92"/>
      <c r="G154" s="9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6" x14ac:dyDescent="0.3">
      <c r="A155" s="92"/>
      <c r="B155" s="92"/>
      <c r="C155" s="92"/>
      <c r="D155" s="92"/>
      <c r="E155" s="92"/>
      <c r="F155" s="92"/>
      <c r="G155" s="9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6" x14ac:dyDescent="0.3">
      <c r="A156" s="92"/>
      <c r="B156" s="92"/>
      <c r="C156" s="92"/>
      <c r="D156" s="92"/>
      <c r="E156" s="92"/>
      <c r="F156" s="92"/>
      <c r="G156" s="9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6" x14ac:dyDescent="0.3">
      <c r="A157" s="92"/>
      <c r="B157" s="92"/>
      <c r="C157" s="92"/>
      <c r="D157" s="92"/>
      <c r="E157" s="92"/>
      <c r="F157" s="92"/>
      <c r="G157" s="9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6" x14ac:dyDescent="0.3">
      <c r="A158" s="92"/>
      <c r="B158" s="92"/>
      <c r="C158" s="92"/>
      <c r="D158" s="92"/>
      <c r="E158" s="92"/>
      <c r="F158" s="92"/>
      <c r="G158" s="9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6" x14ac:dyDescent="0.3">
      <c r="A159" s="92"/>
      <c r="B159" s="92"/>
      <c r="C159" s="92"/>
      <c r="D159" s="92"/>
      <c r="E159" s="92"/>
      <c r="F159" s="92"/>
      <c r="G159" s="9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6" x14ac:dyDescent="0.3">
      <c r="A160" s="92"/>
      <c r="B160" s="92"/>
      <c r="C160" s="92"/>
      <c r="D160" s="92"/>
      <c r="E160" s="92"/>
      <c r="F160" s="92"/>
      <c r="G160" s="9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6" x14ac:dyDescent="0.3">
      <c r="A161" s="92"/>
      <c r="B161" s="92"/>
      <c r="C161" s="92"/>
      <c r="D161" s="92"/>
      <c r="E161" s="92"/>
      <c r="F161" s="92"/>
      <c r="G161" s="9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6" x14ac:dyDescent="0.3">
      <c r="A162" s="92"/>
      <c r="B162" s="92"/>
      <c r="C162" s="92"/>
      <c r="D162" s="92"/>
      <c r="E162" s="92"/>
      <c r="F162" s="92"/>
      <c r="G162" s="9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6" x14ac:dyDescent="0.3">
      <c r="A163" s="92"/>
      <c r="B163" s="92"/>
      <c r="C163" s="92"/>
      <c r="D163" s="92"/>
      <c r="E163" s="92"/>
      <c r="F163" s="92"/>
      <c r="G163" s="9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6" x14ac:dyDescent="0.3">
      <c r="A164" s="92"/>
      <c r="B164" s="92"/>
      <c r="C164" s="92"/>
      <c r="D164" s="92"/>
      <c r="E164" s="92"/>
      <c r="F164" s="92"/>
      <c r="G164" s="9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6" x14ac:dyDescent="0.3">
      <c r="A165" s="92"/>
      <c r="B165" s="92"/>
      <c r="C165" s="92"/>
      <c r="D165" s="92"/>
      <c r="E165" s="92"/>
      <c r="F165" s="92"/>
      <c r="G165" s="9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6" x14ac:dyDescent="0.3">
      <c r="A166" s="92"/>
      <c r="B166" s="92"/>
      <c r="C166" s="92"/>
      <c r="D166" s="92"/>
      <c r="E166" s="92"/>
      <c r="F166" s="92"/>
      <c r="G166" s="9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6" x14ac:dyDescent="0.3">
      <c r="A167" s="92"/>
      <c r="B167" s="92"/>
      <c r="C167" s="92"/>
      <c r="D167" s="92"/>
      <c r="E167" s="92"/>
      <c r="F167" s="92"/>
      <c r="G167" s="9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6" x14ac:dyDescent="0.3">
      <c r="A168" s="92"/>
      <c r="B168" s="92"/>
      <c r="C168" s="92"/>
      <c r="D168" s="92"/>
      <c r="E168" s="92"/>
      <c r="F168" s="92"/>
      <c r="G168" s="9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6" x14ac:dyDescent="0.3">
      <c r="A169" s="92"/>
      <c r="B169" s="92"/>
      <c r="C169" s="92"/>
      <c r="D169" s="92"/>
      <c r="E169" s="92"/>
      <c r="F169" s="92"/>
      <c r="G169" s="9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6" x14ac:dyDescent="0.3">
      <c r="A170" s="92"/>
      <c r="B170" s="92"/>
      <c r="C170" s="92"/>
      <c r="D170" s="92"/>
      <c r="E170" s="92"/>
      <c r="F170" s="92"/>
      <c r="G170" s="9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6" x14ac:dyDescent="0.3">
      <c r="A171" s="92"/>
      <c r="B171" s="92"/>
      <c r="C171" s="92"/>
      <c r="D171" s="92"/>
      <c r="E171" s="92"/>
      <c r="F171" s="92"/>
      <c r="G171" s="9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6" x14ac:dyDescent="0.3">
      <c r="A172" s="92"/>
      <c r="B172" s="92"/>
      <c r="C172" s="92"/>
      <c r="D172" s="92"/>
      <c r="E172" s="92"/>
      <c r="F172" s="92"/>
      <c r="G172" s="9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6" x14ac:dyDescent="0.3">
      <c r="A173" s="92"/>
      <c r="B173" s="92"/>
      <c r="C173" s="92"/>
      <c r="D173" s="92"/>
      <c r="E173" s="92"/>
      <c r="F173" s="92"/>
      <c r="G173" s="9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6" x14ac:dyDescent="0.3">
      <c r="A174" s="92"/>
      <c r="B174" s="92"/>
      <c r="C174" s="92"/>
      <c r="D174" s="92"/>
      <c r="E174" s="92"/>
      <c r="F174" s="92"/>
      <c r="G174" s="9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6" x14ac:dyDescent="0.3">
      <c r="A175" s="92"/>
      <c r="B175" s="92"/>
      <c r="C175" s="92"/>
      <c r="D175" s="92"/>
      <c r="E175" s="92"/>
      <c r="F175" s="92"/>
      <c r="G175" s="9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6" x14ac:dyDescent="0.3">
      <c r="A176" s="92"/>
      <c r="B176" s="92"/>
      <c r="C176" s="92"/>
      <c r="D176" s="92"/>
      <c r="E176" s="92"/>
      <c r="F176" s="92"/>
      <c r="G176" s="9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6" x14ac:dyDescent="0.3">
      <c r="A177" s="92"/>
      <c r="B177" s="92"/>
      <c r="C177" s="92"/>
      <c r="D177" s="92"/>
      <c r="E177" s="92"/>
      <c r="F177" s="92"/>
      <c r="G177" s="9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6" x14ac:dyDescent="0.3">
      <c r="A178" s="92"/>
      <c r="B178" s="92"/>
      <c r="C178" s="92"/>
      <c r="D178" s="92"/>
      <c r="E178" s="92"/>
      <c r="F178" s="92"/>
      <c r="G178" s="9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6" x14ac:dyDescent="0.3">
      <c r="A179" s="92"/>
      <c r="B179" s="92"/>
      <c r="C179" s="92"/>
      <c r="D179" s="92"/>
      <c r="E179" s="92"/>
      <c r="F179" s="92"/>
      <c r="G179" s="9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6" x14ac:dyDescent="0.3">
      <c r="A180" s="92"/>
      <c r="B180" s="92"/>
      <c r="C180" s="92"/>
      <c r="D180" s="92"/>
      <c r="E180" s="92"/>
      <c r="F180" s="92"/>
      <c r="G180" s="9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6" x14ac:dyDescent="0.3">
      <c r="A181" s="92"/>
      <c r="B181" s="92"/>
      <c r="C181" s="92"/>
      <c r="D181" s="92"/>
      <c r="E181" s="92"/>
      <c r="F181" s="92"/>
      <c r="G181" s="9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6" x14ac:dyDescent="0.3">
      <c r="A182" s="92"/>
      <c r="B182" s="92"/>
      <c r="C182" s="92"/>
      <c r="D182" s="92"/>
      <c r="E182" s="92"/>
      <c r="F182" s="92"/>
      <c r="G182" s="9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6" x14ac:dyDescent="0.3">
      <c r="A183" s="92"/>
      <c r="B183" s="92"/>
      <c r="C183" s="92"/>
      <c r="D183" s="92"/>
      <c r="E183" s="92"/>
      <c r="F183" s="92"/>
      <c r="G183" s="9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6" x14ac:dyDescent="0.3">
      <c r="A184" s="92"/>
      <c r="B184" s="92"/>
      <c r="C184" s="92"/>
      <c r="D184" s="92"/>
      <c r="E184" s="92"/>
      <c r="F184" s="92"/>
      <c r="G184" s="9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6" x14ac:dyDescent="0.3">
      <c r="A185" s="92"/>
      <c r="B185" s="92"/>
      <c r="C185" s="92"/>
      <c r="D185" s="92"/>
      <c r="E185" s="92"/>
      <c r="F185" s="92"/>
      <c r="G185" s="9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6" x14ac:dyDescent="0.3">
      <c r="A186" s="92"/>
      <c r="B186" s="92"/>
      <c r="C186" s="92"/>
      <c r="D186" s="92"/>
      <c r="E186" s="92"/>
      <c r="F186" s="92"/>
      <c r="G186" s="9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6" x14ac:dyDescent="0.3">
      <c r="A187" s="92"/>
      <c r="B187" s="92"/>
      <c r="C187" s="92"/>
      <c r="D187" s="92"/>
      <c r="E187" s="92"/>
      <c r="F187" s="92"/>
      <c r="G187" s="9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6" x14ac:dyDescent="0.3">
      <c r="A188" s="92"/>
      <c r="B188" s="92"/>
      <c r="C188" s="92"/>
      <c r="D188" s="92"/>
      <c r="E188" s="92"/>
      <c r="F188" s="92"/>
      <c r="G188" s="9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6" x14ac:dyDescent="0.3">
      <c r="A189" s="92"/>
      <c r="B189" s="92"/>
      <c r="C189" s="92"/>
      <c r="D189" s="92"/>
      <c r="E189" s="92"/>
      <c r="F189" s="92"/>
      <c r="G189" s="9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6" x14ac:dyDescent="0.3">
      <c r="A190" s="92"/>
      <c r="B190" s="92"/>
      <c r="C190" s="92"/>
      <c r="D190" s="92"/>
      <c r="E190" s="92"/>
      <c r="F190" s="92"/>
      <c r="G190" s="9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6" x14ac:dyDescent="0.3">
      <c r="A191" s="92"/>
      <c r="B191" s="92"/>
      <c r="C191" s="92"/>
      <c r="D191" s="92"/>
      <c r="E191" s="92"/>
      <c r="F191" s="92"/>
      <c r="G191" s="9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6" x14ac:dyDescent="0.3">
      <c r="A192" s="92"/>
      <c r="B192" s="92"/>
      <c r="C192" s="92"/>
      <c r="D192" s="92"/>
      <c r="E192" s="92"/>
      <c r="F192" s="92"/>
      <c r="G192" s="9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6" x14ac:dyDescent="0.3">
      <c r="A193" s="92"/>
      <c r="B193" s="92"/>
      <c r="C193" s="92"/>
      <c r="D193" s="92"/>
      <c r="E193" s="92"/>
      <c r="F193" s="92"/>
      <c r="G193" s="9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6" x14ac:dyDescent="0.3">
      <c r="A194" s="92"/>
      <c r="B194" s="92"/>
      <c r="C194" s="92"/>
      <c r="D194" s="92"/>
      <c r="E194" s="92"/>
      <c r="F194" s="92"/>
      <c r="G194" s="9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6" x14ac:dyDescent="0.3">
      <c r="A195" s="92"/>
      <c r="B195" s="92"/>
      <c r="C195" s="92"/>
      <c r="D195" s="92"/>
      <c r="E195" s="92"/>
      <c r="F195" s="92"/>
      <c r="G195" s="9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6" x14ac:dyDescent="0.3">
      <c r="A196" s="92"/>
      <c r="B196" s="92"/>
      <c r="C196" s="92"/>
      <c r="D196" s="92"/>
      <c r="E196" s="92"/>
      <c r="F196" s="92"/>
      <c r="G196" s="9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6" x14ac:dyDescent="0.3">
      <c r="A197" s="92"/>
      <c r="B197" s="92"/>
      <c r="C197" s="92"/>
      <c r="D197" s="92"/>
      <c r="E197" s="92"/>
      <c r="F197" s="92"/>
      <c r="G197" s="9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6" x14ac:dyDescent="0.3">
      <c r="A198" s="92"/>
      <c r="B198" s="92"/>
      <c r="C198" s="92"/>
      <c r="D198" s="92"/>
      <c r="E198" s="92"/>
      <c r="F198" s="92"/>
      <c r="G198" s="9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6" x14ac:dyDescent="0.3">
      <c r="A199" s="92"/>
      <c r="B199" s="92"/>
      <c r="C199" s="92"/>
      <c r="D199" s="92"/>
      <c r="E199" s="92"/>
      <c r="F199" s="92"/>
      <c r="G199" s="9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6" x14ac:dyDescent="0.3">
      <c r="A200" s="92"/>
      <c r="B200" s="92"/>
      <c r="C200" s="92"/>
      <c r="D200" s="92"/>
      <c r="E200" s="92"/>
      <c r="F200" s="92"/>
      <c r="G200" s="9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6" x14ac:dyDescent="0.3">
      <c r="A201" s="92"/>
      <c r="B201" s="92"/>
      <c r="C201" s="92"/>
      <c r="D201" s="92"/>
      <c r="E201" s="92"/>
      <c r="F201" s="92"/>
      <c r="G201" s="9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6" x14ac:dyDescent="0.3">
      <c r="A202" s="92"/>
      <c r="B202" s="92"/>
      <c r="C202" s="92"/>
      <c r="D202" s="92"/>
      <c r="E202" s="92"/>
      <c r="F202" s="92"/>
      <c r="G202" s="9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6" x14ac:dyDescent="0.3">
      <c r="A203" s="92"/>
      <c r="B203" s="92"/>
      <c r="C203" s="92"/>
      <c r="D203" s="92"/>
      <c r="E203" s="92"/>
      <c r="F203" s="92"/>
      <c r="G203" s="9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6" x14ac:dyDescent="0.3">
      <c r="A204" s="92"/>
      <c r="B204" s="92"/>
      <c r="C204" s="92"/>
      <c r="D204" s="92"/>
      <c r="E204" s="92"/>
      <c r="F204" s="92"/>
      <c r="G204" s="9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6" x14ac:dyDescent="0.3">
      <c r="A205" s="92"/>
      <c r="B205" s="92"/>
      <c r="C205" s="92"/>
      <c r="D205" s="92"/>
      <c r="E205" s="92"/>
      <c r="F205" s="92"/>
      <c r="G205" s="9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6" x14ac:dyDescent="0.3">
      <c r="A206" s="92"/>
      <c r="B206" s="92"/>
      <c r="C206" s="92"/>
      <c r="D206" s="92"/>
      <c r="E206" s="92"/>
      <c r="F206" s="92"/>
      <c r="G206" s="9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6" x14ac:dyDescent="0.3">
      <c r="A207" s="92"/>
      <c r="B207" s="92"/>
      <c r="C207" s="92"/>
      <c r="D207" s="92"/>
      <c r="E207" s="92"/>
      <c r="F207" s="92"/>
      <c r="G207" s="9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6" x14ac:dyDescent="0.3">
      <c r="A208" s="92"/>
      <c r="B208" s="92"/>
      <c r="C208" s="92"/>
      <c r="D208" s="92"/>
      <c r="E208" s="92"/>
      <c r="F208" s="92"/>
      <c r="G208" s="9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6" x14ac:dyDescent="0.3">
      <c r="A209" s="92"/>
      <c r="B209" s="92"/>
      <c r="C209" s="92"/>
      <c r="D209" s="92"/>
      <c r="E209" s="92"/>
      <c r="F209" s="92"/>
      <c r="G209" s="9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6" x14ac:dyDescent="0.3">
      <c r="A210" s="92"/>
      <c r="B210" s="92"/>
      <c r="C210" s="92"/>
      <c r="D210" s="92"/>
      <c r="E210" s="92"/>
      <c r="F210" s="92"/>
      <c r="G210" s="9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6" x14ac:dyDescent="0.3">
      <c r="A211" s="92"/>
      <c r="B211" s="92"/>
      <c r="C211" s="92"/>
      <c r="D211" s="92"/>
      <c r="E211" s="92"/>
      <c r="F211" s="92"/>
      <c r="G211" s="9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6" x14ac:dyDescent="0.3">
      <c r="A212" s="92"/>
      <c r="B212" s="92"/>
      <c r="C212" s="92"/>
      <c r="D212" s="92"/>
      <c r="E212" s="92"/>
      <c r="F212" s="92"/>
      <c r="G212" s="9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6" x14ac:dyDescent="0.3">
      <c r="A213" s="92"/>
      <c r="B213" s="92"/>
      <c r="C213" s="92"/>
      <c r="D213" s="92"/>
      <c r="E213" s="92"/>
      <c r="F213" s="92"/>
      <c r="G213" s="9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6" x14ac:dyDescent="0.3">
      <c r="A214" s="92"/>
      <c r="B214" s="92"/>
      <c r="C214" s="92"/>
      <c r="D214" s="92"/>
      <c r="E214" s="92"/>
      <c r="F214" s="92"/>
      <c r="G214" s="9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6" x14ac:dyDescent="0.3">
      <c r="A215" s="92"/>
      <c r="B215" s="92"/>
      <c r="C215" s="92"/>
      <c r="D215" s="92"/>
      <c r="E215" s="92"/>
      <c r="F215" s="92"/>
      <c r="G215" s="9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6" x14ac:dyDescent="0.3">
      <c r="A216" s="92"/>
      <c r="B216" s="92"/>
      <c r="C216" s="92"/>
      <c r="D216" s="92"/>
      <c r="E216" s="92"/>
      <c r="F216" s="92"/>
      <c r="G216" s="9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6" x14ac:dyDescent="0.3">
      <c r="A217" s="92"/>
      <c r="B217" s="92"/>
      <c r="C217" s="92"/>
      <c r="D217" s="92"/>
      <c r="E217" s="92"/>
      <c r="F217" s="92"/>
      <c r="G217" s="9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6" x14ac:dyDescent="0.3">
      <c r="A218" s="92"/>
      <c r="B218" s="92"/>
      <c r="C218" s="92"/>
      <c r="D218" s="92"/>
      <c r="E218" s="92"/>
      <c r="F218" s="92"/>
      <c r="G218" s="9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6" x14ac:dyDescent="0.3">
      <c r="A219" s="92"/>
      <c r="B219" s="92"/>
      <c r="C219" s="92"/>
      <c r="D219" s="92"/>
      <c r="E219" s="92"/>
      <c r="F219" s="92"/>
      <c r="G219" s="9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6" x14ac:dyDescent="0.3">
      <c r="A220" s="92"/>
      <c r="B220" s="92"/>
      <c r="C220" s="92"/>
      <c r="D220" s="92"/>
      <c r="E220" s="92"/>
      <c r="F220" s="92"/>
      <c r="G220" s="9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6" x14ac:dyDescent="0.3">
      <c r="A221" s="92"/>
      <c r="B221" s="92"/>
      <c r="C221" s="92"/>
      <c r="D221" s="92"/>
      <c r="E221" s="92"/>
      <c r="F221" s="92"/>
      <c r="G221" s="9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6" x14ac:dyDescent="0.3">
      <c r="A222" s="92"/>
      <c r="B222" s="92"/>
      <c r="C222" s="92"/>
      <c r="D222" s="92"/>
      <c r="E222" s="92"/>
      <c r="F222" s="92"/>
      <c r="G222" s="9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6" x14ac:dyDescent="0.3">
      <c r="A223" s="92"/>
      <c r="B223" s="92"/>
      <c r="C223" s="92"/>
      <c r="D223" s="92"/>
      <c r="E223" s="92"/>
      <c r="F223" s="92"/>
      <c r="G223" s="9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6" x14ac:dyDescent="0.3">
      <c r="A224" s="92"/>
      <c r="B224" s="92"/>
      <c r="C224" s="92"/>
      <c r="D224" s="92"/>
      <c r="E224" s="92"/>
      <c r="F224" s="92"/>
      <c r="G224" s="9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6" x14ac:dyDescent="0.3">
      <c r="A225" s="92"/>
      <c r="B225" s="92"/>
      <c r="C225" s="92"/>
      <c r="D225" s="92"/>
      <c r="E225" s="92"/>
      <c r="F225" s="92"/>
      <c r="G225" s="9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6" x14ac:dyDescent="0.3">
      <c r="A226" s="92"/>
      <c r="B226" s="92"/>
      <c r="C226" s="92"/>
      <c r="D226" s="92"/>
      <c r="E226" s="92"/>
      <c r="F226" s="92"/>
      <c r="G226" s="9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6" x14ac:dyDescent="0.3">
      <c r="A227" s="92"/>
      <c r="B227" s="92"/>
      <c r="C227" s="92"/>
      <c r="D227" s="92"/>
      <c r="E227" s="92"/>
      <c r="F227" s="92"/>
      <c r="G227" s="9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6" x14ac:dyDescent="0.3">
      <c r="A228" s="92"/>
      <c r="B228" s="92"/>
      <c r="C228" s="92"/>
      <c r="D228" s="92"/>
      <c r="E228" s="92"/>
      <c r="F228" s="92"/>
      <c r="G228" s="9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6" x14ac:dyDescent="0.3">
      <c r="A229" s="92"/>
      <c r="B229" s="92"/>
      <c r="C229" s="92"/>
      <c r="D229" s="92"/>
      <c r="E229" s="92"/>
      <c r="F229" s="92"/>
      <c r="G229" s="9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6" x14ac:dyDescent="0.3">
      <c r="A230" s="92"/>
      <c r="B230" s="92"/>
      <c r="C230" s="92"/>
      <c r="D230" s="92"/>
      <c r="E230" s="92"/>
      <c r="F230" s="92"/>
      <c r="G230" s="9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6" x14ac:dyDescent="0.3">
      <c r="A231" s="92"/>
      <c r="B231" s="92"/>
      <c r="C231" s="92"/>
      <c r="D231" s="92"/>
      <c r="E231" s="92"/>
      <c r="F231" s="92"/>
      <c r="G231" s="9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6" x14ac:dyDescent="0.3">
      <c r="A232" s="92"/>
      <c r="B232" s="92"/>
      <c r="C232" s="92"/>
      <c r="D232" s="92"/>
      <c r="E232" s="92"/>
      <c r="F232" s="92"/>
      <c r="G232" s="9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6" x14ac:dyDescent="0.3">
      <c r="A233" s="92"/>
      <c r="B233" s="92"/>
      <c r="C233" s="92"/>
      <c r="D233" s="92"/>
      <c r="E233" s="92"/>
      <c r="F233" s="92"/>
      <c r="G233" s="9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6" x14ac:dyDescent="0.3">
      <c r="A234" s="92"/>
      <c r="B234" s="92"/>
      <c r="C234" s="92"/>
      <c r="D234" s="92"/>
      <c r="E234" s="92"/>
      <c r="F234" s="92"/>
      <c r="G234" s="9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6" x14ac:dyDescent="0.3">
      <c r="A235" s="92"/>
      <c r="B235" s="92"/>
      <c r="C235" s="92"/>
      <c r="D235" s="92"/>
      <c r="E235" s="92"/>
      <c r="F235" s="92"/>
      <c r="G235" s="9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6" x14ac:dyDescent="0.3">
      <c r="A236" s="92"/>
      <c r="B236" s="92"/>
      <c r="C236" s="92"/>
      <c r="D236" s="92"/>
      <c r="E236" s="92"/>
      <c r="F236" s="92"/>
      <c r="G236" s="9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6" x14ac:dyDescent="0.3">
      <c r="A237" s="92"/>
      <c r="B237" s="92"/>
      <c r="C237" s="92"/>
      <c r="D237" s="92"/>
      <c r="E237" s="92"/>
      <c r="F237" s="92"/>
      <c r="G237" s="9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6" x14ac:dyDescent="0.3">
      <c r="A238" s="92"/>
      <c r="B238" s="92"/>
      <c r="C238" s="92"/>
      <c r="D238" s="92"/>
      <c r="E238" s="92"/>
      <c r="F238" s="92"/>
      <c r="G238" s="9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6" x14ac:dyDescent="0.3">
      <c r="A239" s="92"/>
      <c r="B239" s="92"/>
      <c r="C239" s="92"/>
      <c r="D239" s="92"/>
      <c r="E239" s="92"/>
      <c r="F239" s="92"/>
      <c r="G239" s="9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6" x14ac:dyDescent="0.3">
      <c r="A240" s="92"/>
      <c r="B240" s="92"/>
      <c r="C240" s="92"/>
      <c r="D240" s="92"/>
      <c r="E240" s="92"/>
      <c r="F240" s="92"/>
      <c r="G240" s="9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6" x14ac:dyDescent="0.3">
      <c r="A241" s="92"/>
      <c r="B241" s="92"/>
      <c r="C241" s="92"/>
      <c r="D241" s="92"/>
      <c r="E241" s="92"/>
      <c r="F241" s="92"/>
      <c r="G241" s="9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6" x14ac:dyDescent="0.3">
      <c r="A242" s="92"/>
      <c r="B242" s="92"/>
      <c r="C242" s="92"/>
      <c r="D242" s="92"/>
      <c r="E242" s="92"/>
      <c r="F242" s="92"/>
      <c r="G242" s="9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6" x14ac:dyDescent="0.3">
      <c r="A243" s="92"/>
      <c r="B243" s="92"/>
      <c r="C243" s="92"/>
      <c r="D243" s="92"/>
      <c r="E243" s="92"/>
      <c r="F243" s="92"/>
      <c r="G243" s="9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6" x14ac:dyDescent="0.3">
      <c r="A244" s="92"/>
      <c r="B244" s="92"/>
      <c r="C244" s="92"/>
      <c r="D244" s="92"/>
      <c r="E244" s="92"/>
      <c r="F244" s="92"/>
      <c r="G244" s="9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6" x14ac:dyDescent="0.3">
      <c r="A245" s="92"/>
      <c r="B245" s="92"/>
      <c r="C245" s="92"/>
      <c r="D245" s="92"/>
      <c r="E245" s="92"/>
      <c r="F245" s="92"/>
      <c r="G245" s="9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6" x14ac:dyDescent="0.3">
      <c r="A246" s="92"/>
      <c r="B246" s="92"/>
      <c r="C246" s="92"/>
      <c r="D246" s="92"/>
      <c r="E246" s="92"/>
      <c r="F246" s="92"/>
      <c r="G246" s="9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6" x14ac:dyDescent="0.3">
      <c r="A247" s="92"/>
      <c r="B247" s="92"/>
      <c r="C247" s="92"/>
      <c r="D247" s="92"/>
      <c r="E247" s="92"/>
      <c r="F247" s="92"/>
      <c r="G247" s="9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6" x14ac:dyDescent="0.3">
      <c r="A248" s="92"/>
      <c r="B248" s="92"/>
      <c r="C248" s="92"/>
      <c r="D248" s="92"/>
      <c r="E248" s="92"/>
      <c r="F248" s="92"/>
      <c r="G248" s="9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6" x14ac:dyDescent="0.3">
      <c r="A249" s="92"/>
      <c r="B249" s="92"/>
      <c r="C249" s="92"/>
      <c r="D249" s="92"/>
      <c r="E249" s="92"/>
      <c r="F249" s="92"/>
      <c r="G249" s="9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6" x14ac:dyDescent="0.3">
      <c r="A250" s="92"/>
      <c r="B250" s="92"/>
      <c r="C250" s="92"/>
      <c r="D250" s="92"/>
      <c r="E250" s="92"/>
      <c r="F250" s="92"/>
      <c r="G250" s="9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6" x14ac:dyDescent="0.3">
      <c r="A251" s="92"/>
      <c r="B251" s="92"/>
      <c r="C251" s="92"/>
      <c r="D251" s="92"/>
      <c r="E251" s="92"/>
      <c r="F251" s="92"/>
      <c r="G251" s="9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6" x14ac:dyDescent="0.3">
      <c r="A252" s="92"/>
      <c r="B252" s="92"/>
      <c r="C252" s="92"/>
      <c r="D252" s="92"/>
      <c r="E252" s="92"/>
      <c r="F252" s="92"/>
      <c r="G252" s="9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6" x14ac:dyDescent="0.3">
      <c r="A253" s="92"/>
      <c r="B253" s="92"/>
      <c r="C253" s="92"/>
      <c r="D253" s="92"/>
      <c r="E253" s="92"/>
      <c r="F253" s="92"/>
      <c r="G253" s="9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6" x14ac:dyDescent="0.3">
      <c r="A254" s="92"/>
      <c r="B254" s="92"/>
      <c r="C254" s="92"/>
      <c r="D254" s="92"/>
      <c r="E254" s="92"/>
      <c r="F254" s="92"/>
      <c r="G254" s="9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6" x14ac:dyDescent="0.3">
      <c r="A255" s="92"/>
      <c r="B255" s="92"/>
      <c r="C255" s="92"/>
      <c r="D255" s="92"/>
      <c r="E255" s="92"/>
      <c r="F255" s="92"/>
      <c r="G255" s="9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6" x14ac:dyDescent="0.3">
      <c r="A256" s="92"/>
      <c r="B256" s="92"/>
      <c r="C256" s="92"/>
      <c r="D256" s="92"/>
      <c r="E256" s="92"/>
      <c r="F256" s="92"/>
      <c r="G256" s="9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6" x14ac:dyDescent="0.3">
      <c r="A257" s="92"/>
      <c r="B257" s="92"/>
      <c r="C257" s="92"/>
      <c r="D257" s="92"/>
      <c r="E257" s="92"/>
      <c r="F257" s="92"/>
      <c r="G257" s="9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6" x14ac:dyDescent="0.3">
      <c r="A258" s="92"/>
      <c r="B258" s="92"/>
      <c r="C258" s="92"/>
      <c r="D258" s="92"/>
      <c r="E258" s="92"/>
      <c r="F258" s="92"/>
      <c r="G258" s="9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6" x14ac:dyDescent="0.3">
      <c r="A259" s="92"/>
      <c r="B259" s="92"/>
      <c r="C259" s="92"/>
      <c r="D259" s="92"/>
      <c r="E259" s="92"/>
      <c r="F259" s="92"/>
      <c r="G259" s="9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6" x14ac:dyDescent="0.3">
      <c r="A260" s="92"/>
      <c r="B260" s="92"/>
      <c r="C260" s="92"/>
      <c r="D260" s="92"/>
      <c r="E260" s="92"/>
      <c r="F260" s="92"/>
      <c r="G260" s="9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6" x14ac:dyDescent="0.3">
      <c r="A261" s="92"/>
      <c r="B261" s="92"/>
      <c r="C261" s="92"/>
      <c r="D261" s="92"/>
      <c r="E261" s="92"/>
      <c r="F261" s="92"/>
      <c r="G261" s="9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6" x14ac:dyDescent="0.3">
      <c r="A262" s="92"/>
      <c r="B262" s="92"/>
      <c r="C262" s="92"/>
      <c r="D262" s="92"/>
      <c r="E262" s="92"/>
      <c r="F262" s="92"/>
      <c r="G262" s="9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6" x14ac:dyDescent="0.3">
      <c r="A263" s="92"/>
      <c r="B263" s="92"/>
      <c r="C263" s="92"/>
      <c r="D263" s="92"/>
      <c r="E263" s="92"/>
      <c r="F263" s="92"/>
      <c r="G263" s="9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6" x14ac:dyDescent="0.3">
      <c r="A264" s="92"/>
      <c r="B264" s="92"/>
      <c r="C264" s="92"/>
      <c r="D264" s="92"/>
      <c r="E264" s="92"/>
      <c r="F264" s="92"/>
      <c r="G264" s="9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6" x14ac:dyDescent="0.3">
      <c r="A265" s="92"/>
      <c r="B265" s="92"/>
      <c r="C265" s="92"/>
      <c r="D265" s="92"/>
      <c r="E265" s="92"/>
      <c r="F265" s="92"/>
      <c r="G265" s="9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6" x14ac:dyDescent="0.3">
      <c r="A266" s="92"/>
      <c r="B266" s="92"/>
      <c r="C266" s="92"/>
      <c r="D266" s="92"/>
      <c r="E266" s="92"/>
      <c r="F266" s="92"/>
      <c r="G266" s="9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6" x14ac:dyDescent="0.3">
      <c r="A267" s="92"/>
      <c r="B267" s="92"/>
      <c r="C267" s="92"/>
      <c r="D267" s="92"/>
      <c r="E267" s="92"/>
      <c r="F267" s="92"/>
      <c r="G267" s="9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6" x14ac:dyDescent="0.3">
      <c r="A268" s="92"/>
      <c r="B268" s="92"/>
      <c r="C268" s="92"/>
      <c r="D268" s="92"/>
      <c r="E268" s="92"/>
      <c r="F268" s="92"/>
      <c r="G268" s="9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6" x14ac:dyDescent="0.3">
      <c r="A269" s="92"/>
      <c r="B269" s="92"/>
      <c r="C269" s="92"/>
      <c r="D269" s="92"/>
      <c r="E269" s="92"/>
      <c r="F269" s="92"/>
      <c r="G269" s="9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6" x14ac:dyDescent="0.3">
      <c r="A270" s="92"/>
      <c r="B270" s="92"/>
      <c r="C270" s="92"/>
      <c r="D270" s="92"/>
      <c r="E270" s="92"/>
      <c r="F270" s="92"/>
      <c r="G270" s="9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6" x14ac:dyDescent="0.3">
      <c r="A271" s="92"/>
      <c r="B271" s="92"/>
      <c r="C271" s="92"/>
      <c r="D271" s="92"/>
      <c r="E271" s="92"/>
      <c r="F271" s="92"/>
      <c r="G271" s="9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6" x14ac:dyDescent="0.3">
      <c r="A272" s="92"/>
      <c r="B272" s="92"/>
      <c r="C272" s="92"/>
      <c r="D272" s="92"/>
      <c r="E272" s="92"/>
      <c r="F272" s="92"/>
      <c r="G272" s="9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6" x14ac:dyDescent="0.3">
      <c r="A273" s="92"/>
      <c r="B273" s="92"/>
      <c r="C273" s="92"/>
      <c r="D273" s="92"/>
      <c r="E273" s="92"/>
      <c r="F273" s="92"/>
      <c r="G273" s="9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6" x14ac:dyDescent="0.3">
      <c r="A274" s="92"/>
      <c r="B274" s="92"/>
      <c r="C274" s="92"/>
      <c r="D274" s="92"/>
      <c r="E274" s="92"/>
      <c r="F274" s="92"/>
      <c r="G274" s="9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6" x14ac:dyDescent="0.3">
      <c r="A275" s="92"/>
      <c r="B275" s="92"/>
      <c r="C275" s="92"/>
      <c r="D275" s="92"/>
      <c r="E275" s="92"/>
      <c r="F275" s="92"/>
      <c r="G275" s="9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6" x14ac:dyDescent="0.3">
      <c r="A276" s="92"/>
      <c r="B276" s="92"/>
      <c r="C276" s="92"/>
      <c r="D276" s="92"/>
      <c r="E276" s="92"/>
      <c r="F276" s="92"/>
      <c r="G276" s="9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6" x14ac:dyDescent="0.3">
      <c r="A277" s="92"/>
      <c r="B277" s="92"/>
      <c r="C277" s="92"/>
      <c r="D277" s="92"/>
      <c r="E277" s="92"/>
      <c r="F277" s="92"/>
      <c r="G277" s="9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6" x14ac:dyDescent="0.3">
      <c r="A278" s="92"/>
      <c r="B278" s="92"/>
      <c r="C278" s="92"/>
      <c r="D278" s="92"/>
      <c r="E278" s="92"/>
      <c r="F278" s="92"/>
      <c r="G278" s="9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6" x14ac:dyDescent="0.3">
      <c r="A279" s="92"/>
      <c r="B279" s="92"/>
      <c r="C279" s="92"/>
      <c r="D279" s="92"/>
      <c r="E279" s="92"/>
      <c r="F279" s="92"/>
      <c r="G279" s="9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6" x14ac:dyDescent="0.3">
      <c r="A280" s="92"/>
      <c r="B280" s="92"/>
      <c r="C280" s="92"/>
      <c r="D280" s="92"/>
      <c r="E280" s="92"/>
      <c r="F280" s="92"/>
      <c r="G280" s="9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6" x14ac:dyDescent="0.3">
      <c r="A281" s="92"/>
      <c r="B281" s="92"/>
      <c r="C281" s="92"/>
      <c r="D281" s="92"/>
      <c r="E281" s="92"/>
      <c r="F281" s="92"/>
      <c r="G281" s="9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6" x14ac:dyDescent="0.3">
      <c r="A282" s="92"/>
      <c r="B282" s="92"/>
      <c r="C282" s="92"/>
      <c r="D282" s="92"/>
      <c r="E282" s="92"/>
      <c r="F282" s="92"/>
      <c r="G282" s="9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6" x14ac:dyDescent="0.3">
      <c r="A283" s="92"/>
      <c r="B283" s="92"/>
      <c r="C283" s="92"/>
      <c r="D283" s="92"/>
      <c r="E283" s="92"/>
      <c r="F283" s="92"/>
      <c r="G283" s="9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6" x14ac:dyDescent="0.3">
      <c r="A284" s="92"/>
      <c r="B284" s="92"/>
      <c r="C284" s="92"/>
      <c r="D284" s="92"/>
      <c r="E284" s="92"/>
      <c r="F284" s="92"/>
      <c r="G284" s="9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6" x14ac:dyDescent="0.3">
      <c r="A285" s="92"/>
      <c r="B285" s="92"/>
      <c r="C285" s="92"/>
      <c r="D285" s="92"/>
      <c r="E285" s="92"/>
      <c r="F285" s="92"/>
      <c r="G285" s="9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6" x14ac:dyDescent="0.3">
      <c r="A286" s="92"/>
      <c r="B286" s="92"/>
      <c r="C286" s="92"/>
      <c r="D286" s="92"/>
      <c r="E286" s="92"/>
      <c r="F286" s="92"/>
      <c r="G286" s="9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6" x14ac:dyDescent="0.3">
      <c r="A287" s="92"/>
      <c r="B287" s="92"/>
      <c r="C287" s="92"/>
      <c r="D287" s="92"/>
      <c r="E287" s="92"/>
      <c r="F287" s="92"/>
      <c r="G287" s="9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6" x14ac:dyDescent="0.3">
      <c r="A288" s="92"/>
      <c r="B288" s="92"/>
      <c r="C288" s="92"/>
      <c r="D288" s="92"/>
      <c r="E288" s="92"/>
      <c r="F288" s="92"/>
      <c r="G288" s="9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6" x14ac:dyDescent="0.3">
      <c r="A289" s="92"/>
      <c r="B289" s="92"/>
      <c r="C289" s="92"/>
      <c r="D289" s="92"/>
      <c r="E289" s="92"/>
      <c r="F289" s="92"/>
      <c r="G289" s="9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6" x14ac:dyDescent="0.3">
      <c r="A290" s="92"/>
      <c r="B290" s="92"/>
      <c r="C290" s="92"/>
      <c r="D290" s="92"/>
      <c r="E290" s="92"/>
      <c r="F290" s="92"/>
      <c r="G290" s="9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6" x14ac:dyDescent="0.3">
      <c r="A291" s="92"/>
      <c r="B291" s="92"/>
      <c r="C291" s="92"/>
      <c r="D291" s="92"/>
      <c r="E291" s="92"/>
      <c r="F291" s="92"/>
      <c r="G291" s="9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6" x14ac:dyDescent="0.3">
      <c r="A292" s="92"/>
      <c r="B292" s="92"/>
      <c r="C292" s="92"/>
      <c r="D292" s="92"/>
      <c r="E292" s="92"/>
      <c r="F292" s="92"/>
      <c r="G292" s="9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6" x14ac:dyDescent="0.3">
      <c r="A293" s="92"/>
      <c r="B293" s="92"/>
      <c r="C293" s="92"/>
      <c r="D293" s="92"/>
      <c r="E293" s="92"/>
      <c r="F293" s="92"/>
      <c r="G293" s="9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6" x14ac:dyDescent="0.3">
      <c r="A294" s="92"/>
      <c r="B294" s="92"/>
      <c r="C294" s="92"/>
      <c r="D294" s="92"/>
      <c r="E294" s="92"/>
      <c r="F294" s="92"/>
      <c r="G294" s="9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6" x14ac:dyDescent="0.3">
      <c r="A295" s="92"/>
      <c r="B295" s="92"/>
      <c r="C295" s="92"/>
      <c r="D295" s="92"/>
      <c r="E295" s="92"/>
      <c r="F295" s="92"/>
      <c r="G295" s="9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6" x14ac:dyDescent="0.3">
      <c r="A296" s="92"/>
      <c r="B296" s="92"/>
      <c r="C296" s="92"/>
      <c r="D296" s="92"/>
      <c r="E296" s="92"/>
      <c r="F296" s="92"/>
      <c r="G296" s="9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6" x14ac:dyDescent="0.3">
      <c r="A297" s="92"/>
      <c r="B297" s="92"/>
      <c r="C297" s="92"/>
      <c r="D297" s="92"/>
      <c r="E297" s="92"/>
      <c r="F297" s="92"/>
      <c r="G297" s="9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6" x14ac:dyDescent="0.3">
      <c r="A298" s="92"/>
      <c r="B298" s="92"/>
      <c r="C298" s="92"/>
      <c r="D298" s="92"/>
      <c r="E298" s="92"/>
      <c r="F298" s="92"/>
      <c r="G298" s="9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6" x14ac:dyDescent="0.3">
      <c r="A299" s="92"/>
      <c r="B299" s="92"/>
      <c r="C299" s="92"/>
      <c r="D299" s="92"/>
      <c r="E299" s="92"/>
      <c r="F299" s="92"/>
      <c r="G299" s="9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6" x14ac:dyDescent="0.3">
      <c r="A300" s="92"/>
      <c r="B300" s="92"/>
      <c r="C300" s="92"/>
      <c r="D300" s="92"/>
      <c r="E300" s="92"/>
      <c r="F300" s="92"/>
      <c r="G300" s="9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6" x14ac:dyDescent="0.3">
      <c r="A301" s="92"/>
      <c r="B301" s="92"/>
      <c r="C301" s="92"/>
      <c r="D301" s="92"/>
      <c r="E301" s="92"/>
      <c r="F301" s="92"/>
      <c r="G301" s="9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6" x14ac:dyDescent="0.3">
      <c r="A302" s="92"/>
      <c r="B302" s="92"/>
      <c r="C302" s="92"/>
      <c r="D302" s="92"/>
      <c r="E302" s="92"/>
      <c r="F302" s="92"/>
      <c r="G302" s="9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6" x14ac:dyDescent="0.3">
      <c r="A303" s="92"/>
      <c r="B303" s="92"/>
      <c r="C303" s="92"/>
      <c r="D303" s="92"/>
      <c r="E303" s="92"/>
      <c r="F303" s="92"/>
      <c r="G303" s="9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6" x14ac:dyDescent="0.3">
      <c r="A304" s="92"/>
      <c r="B304" s="92"/>
      <c r="C304" s="92"/>
      <c r="D304" s="92"/>
      <c r="E304" s="92"/>
      <c r="F304" s="92"/>
      <c r="G304" s="9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6" x14ac:dyDescent="0.3">
      <c r="A305" s="92"/>
      <c r="B305" s="92"/>
      <c r="C305" s="92"/>
      <c r="D305" s="92"/>
      <c r="E305" s="92"/>
      <c r="F305" s="92"/>
      <c r="G305" s="9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6" x14ac:dyDescent="0.3">
      <c r="A306" s="92"/>
      <c r="B306" s="92"/>
      <c r="C306" s="92"/>
      <c r="D306" s="92"/>
      <c r="E306" s="92"/>
      <c r="F306" s="92"/>
      <c r="G306" s="9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6" x14ac:dyDescent="0.3">
      <c r="A307" s="92"/>
      <c r="B307" s="92"/>
      <c r="C307" s="92"/>
      <c r="D307" s="92"/>
      <c r="E307" s="92"/>
      <c r="F307" s="92"/>
      <c r="G307" s="9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6" x14ac:dyDescent="0.3">
      <c r="A308" s="92"/>
      <c r="B308" s="92"/>
      <c r="C308" s="92"/>
      <c r="D308" s="92"/>
      <c r="E308" s="92"/>
      <c r="F308" s="92"/>
      <c r="G308" s="9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6" x14ac:dyDescent="0.3">
      <c r="A309" s="92"/>
      <c r="B309" s="92"/>
      <c r="C309" s="92"/>
      <c r="D309" s="92"/>
      <c r="E309" s="92"/>
      <c r="F309" s="92"/>
      <c r="G309" s="9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6" x14ac:dyDescent="0.3">
      <c r="A310" s="92"/>
      <c r="B310" s="92"/>
      <c r="C310" s="92"/>
      <c r="D310" s="92"/>
      <c r="E310" s="92"/>
      <c r="F310" s="92"/>
      <c r="G310" s="9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6" x14ac:dyDescent="0.3">
      <c r="A311" s="92"/>
      <c r="B311" s="92"/>
      <c r="C311" s="92"/>
      <c r="D311" s="92"/>
      <c r="E311" s="92"/>
      <c r="F311" s="92"/>
      <c r="G311" s="9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6" x14ac:dyDescent="0.3">
      <c r="A312" s="92"/>
      <c r="B312" s="92"/>
      <c r="C312" s="92"/>
      <c r="D312" s="92"/>
      <c r="E312" s="92"/>
      <c r="F312" s="92"/>
      <c r="G312" s="9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6" x14ac:dyDescent="0.3">
      <c r="A313" s="92"/>
      <c r="B313" s="92"/>
      <c r="C313" s="92"/>
      <c r="D313" s="92"/>
      <c r="E313" s="92"/>
      <c r="F313" s="92"/>
      <c r="G313" s="9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6" x14ac:dyDescent="0.3">
      <c r="A314" s="92"/>
      <c r="B314" s="92"/>
      <c r="C314" s="92"/>
      <c r="D314" s="92"/>
      <c r="E314" s="92"/>
      <c r="F314" s="92"/>
      <c r="G314" s="9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6" x14ac:dyDescent="0.3">
      <c r="A315" s="92"/>
      <c r="B315" s="92"/>
      <c r="C315" s="92"/>
      <c r="D315" s="92"/>
      <c r="E315" s="92"/>
      <c r="F315" s="92"/>
      <c r="G315" s="9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6" x14ac:dyDescent="0.3">
      <c r="A316" s="92"/>
      <c r="B316" s="92"/>
      <c r="C316" s="92"/>
      <c r="D316" s="92"/>
      <c r="E316" s="92"/>
      <c r="F316" s="92"/>
      <c r="G316" s="9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6" x14ac:dyDescent="0.3">
      <c r="A317" s="92"/>
      <c r="B317" s="92"/>
      <c r="C317" s="92"/>
      <c r="D317" s="92"/>
      <c r="E317" s="92"/>
      <c r="F317" s="92"/>
      <c r="G317" s="9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6" x14ac:dyDescent="0.3">
      <c r="A318" s="92"/>
      <c r="B318" s="92"/>
      <c r="C318" s="92"/>
      <c r="D318" s="92"/>
      <c r="E318" s="92"/>
      <c r="F318" s="92"/>
      <c r="G318" s="9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6" x14ac:dyDescent="0.3">
      <c r="A319" s="92"/>
      <c r="B319" s="92"/>
      <c r="C319" s="92"/>
      <c r="D319" s="92"/>
      <c r="E319" s="92"/>
      <c r="F319" s="92"/>
      <c r="G319" s="9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6" x14ac:dyDescent="0.3">
      <c r="A320" s="92"/>
      <c r="B320" s="92"/>
      <c r="C320" s="92"/>
      <c r="D320" s="92"/>
      <c r="E320" s="92"/>
      <c r="F320" s="92"/>
      <c r="G320" s="9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6" x14ac:dyDescent="0.3">
      <c r="A321" s="92"/>
      <c r="B321" s="92"/>
      <c r="C321" s="92"/>
      <c r="D321" s="92"/>
      <c r="E321" s="92"/>
      <c r="F321" s="92"/>
      <c r="G321" s="9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6" x14ac:dyDescent="0.3">
      <c r="A322" s="92"/>
      <c r="B322" s="92"/>
      <c r="C322" s="92"/>
      <c r="D322" s="92"/>
      <c r="E322" s="92"/>
      <c r="F322" s="92"/>
      <c r="G322" s="9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6" x14ac:dyDescent="0.3">
      <c r="A323" s="92"/>
      <c r="B323" s="92"/>
      <c r="C323" s="92"/>
      <c r="D323" s="92"/>
      <c r="E323" s="92"/>
      <c r="F323" s="92"/>
      <c r="G323" s="9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6" x14ac:dyDescent="0.3">
      <c r="A324" s="92"/>
      <c r="B324" s="92"/>
      <c r="C324" s="92"/>
      <c r="D324" s="92"/>
      <c r="E324" s="92"/>
      <c r="F324" s="92"/>
      <c r="G324" s="9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6" x14ac:dyDescent="0.3">
      <c r="A325" s="92"/>
      <c r="B325" s="92"/>
      <c r="C325" s="92"/>
      <c r="D325" s="92"/>
      <c r="E325" s="92"/>
      <c r="F325" s="92"/>
      <c r="G325" s="9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6" x14ac:dyDescent="0.3">
      <c r="A326" s="92"/>
      <c r="B326" s="92"/>
      <c r="C326" s="92"/>
      <c r="D326" s="92"/>
      <c r="E326" s="92"/>
      <c r="F326" s="92"/>
      <c r="G326" s="9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6" x14ac:dyDescent="0.3">
      <c r="A327" s="92"/>
      <c r="B327" s="92"/>
      <c r="C327" s="92"/>
      <c r="D327" s="92"/>
      <c r="E327" s="92"/>
      <c r="F327" s="92"/>
      <c r="G327" s="9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6" x14ac:dyDescent="0.3">
      <c r="A328" s="92"/>
      <c r="B328" s="92"/>
      <c r="C328" s="92"/>
      <c r="D328" s="92"/>
      <c r="E328" s="92"/>
      <c r="F328" s="92"/>
      <c r="G328" s="9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6" x14ac:dyDescent="0.3">
      <c r="A329" s="92"/>
      <c r="B329" s="92"/>
      <c r="C329" s="92"/>
      <c r="D329" s="92"/>
      <c r="E329" s="92"/>
      <c r="F329" s="92"/>
      <c r="G329" s="9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6" x14ac:dyDescent="0.3">
      <c r="A330" s="92"/>
      <c r="B330" s="92"/>
      <c r="C330" s="92"/>
      <c r="D330" s="92"/>
      <c r="E330" s="92"/>
      <c r="F330" s="92"/>
      <c r="G330" s="9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6" x14ac:dyDescent="0.3">
      <c r="A331" s="92"/>
      <c r="B331" s="92"/>
      <c r="C331" s="92"/>
      <c r="D331" s="92"/>
      <c r="E331" s="92"/>
      <c r="F331" s="92"/>
      <c r="G331" s="9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6" x14ac:dyDescent="0.3">
      <c r="A332" s="92"/>
      <c r="B332" s="92"/>
      <c r="C332" s="92"/>
      <c r="D332" s="92"/>
      <c r="E332" s="92"/>
      <c r="F332" s="92"/>
      <c r="G332" s="9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6" x14ac:dyDescent="0.3">
      <c r="A333" s="92"/>
      <c r="B333" s="92"/>
      <c r="C333" s="92"/>
      <c r="D333" s="92"/>
      <c r="E333" s="92"/>
      <c r="F333" s="92"/>
      <c r="G333" s="9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6" x14ac:dyDescent="0.3">
      <c r="A334" s="92"/>
      <c r="B334" s="92"/>
      <c r="C334" s="92"/>
      <c r="D334" s="92"/>
      <c r="E334" s="92"/>
      <c r="F334" s="92"/>
      <c r="G334" s="9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6" x14ac:dyDescent="0.3">
      <c r="A335" s="92"/>
      <c r="B335" s="92"/>
      <c r="C335" s="92"/>
      <c r="D335" s="92"/>
      <c r="E335" s="92"/>
      <c r="F335" s="92"/>
      <c r="G335" s="9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6" x14ac:dyDescent="0.3">
      <c r="A336" s="92"/>
      <c r="B336" s="92"/>
      <c r="C336" s="92"/>
      <c r="D336" s="92"/>
      <c r="E336" s="92"/>
      <c r="F336" s="92"/>
      <c r="G336" s="9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6" x14ac:dyDescent="0.3">
      <c r="A337" s="92"/>
      <c r="B337" s="92"/>
      <c r="C337" s="92"/>
      <c r="D337" s="92"/>
      <c r="E337" s="92"/>
      <c r="F337" s="92"/>
      <c r="G337" s="9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6" x14ac:dyDescent="0.3">
      <c r="A338" s="92"/>
      <c r="B338" s="92"/>
      <c r="C338" s="92"/>
      <c r="D338" s="92"/>
      <c r="E338" s="92"/>
      <c r="F338" s="92"/>
      <c r="G338" s="9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6" x14ac:dyDescent="0.3">
      <c r="A339" s="92"/>
      <c r="B339" s="92"/>
      <c r="C339" s="92"/>
      <c r="D339" s="92"/>
      <c r="E339" s="92"/>
      <c r="F339" s="92"/>
      <c r="G339" s="9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6" x14ac:dyDescent="0.3">
      <c r="A340" s="92"/>
      <c r="B340" s="92"/>
      <c r="C340" s="92"/>
      <c r="D340" s="92"/>
      <c r="E340" s="92"/>
      <c r="F340" s="92"/>
      <c r="G340" s="9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6" x14ac:dyDescent="0.3">
      <c r="A341" s="92"/>
      <c r="B341" s="92"/>
      <c r="C341" s="92"/>
      <c r="D341" s="92"/>
      <c r="E341" s="92"/>
      <c r="F341" s="92"/>
      <c r="G341" s="9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6" x14ac:dyDescent="0.3">
      <c r="A342" s="92"/>
      <c r="B342" s="92"/>
      <c r="C342" s="92"/>
      <c r="D342" s="92"/>
      <c r="E342" s="92"/>
      <c r="F342" s="92"/>
      <c r="G342" s="9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6" x14ac:dyDescent="0.3">
      <c r="A343" s="92"/>
      <c r="B343" s="92"/>
      <c r="C343" s="92"/>
      <c r="D343" s="92"/>
      <c r="E343" s="92"/>
      <c r="F343" s="92"/>
      <c r="G343" s="9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6" x14ac:dyDescent="0.3">
      <c r="A344" s="92"/>
      <c r="B344" s="92"/>
      <c r="C344" s="92"/>
      <c r="D344" s="92"/>
      <c r="E344" s="92"/>
      <c r="F344" s="92"/>
      <c r="G344" s="9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6" x14ac:dyDescent="0.3">
      <c r="A345" s="92"/>
      <c r="B345" s="92"/>
      <c r="C345" s="92"/>
      <c r="D345" s="92"/>
      <c r="E345" s="92"/>
      <c r="F345" s="92"/>
      <c r="G345" s="9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6" x14ac:dyDescent="0.3">
      <c r="A346" s="92"/>
      <c r="B346" s="92"/>
      <c r="C346" s="92"/>
      <c r="D346" s="92"/>
      <c r="E346" s="92"/>
      <c r="F346" s="92"/>
      <c r="G346" s="9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6" x14ac:dyDescent="0.3">
      <c r="A347" s="92"/>
      <c r="B347" s="92"/>
      <c r="C347" s="92"/>
      <c r="D347" s="92"/>
      <c r="E347" s="92"/>
      <c r="F347" s="92"/>
      <c r="G347" s="9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6" x14ac:dyDescent="0.3">
      <c r="A348" s="92"/>
      <c r="B348" s="92"/>
      <c r="C348" s="92"/>
      <c r="D348" s="92"/>
      <c r="E348" s="92"/>
      <c r="F348" s="92"/>
      <c r="G348" s="9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6" x14ac:dyDescent="0.3">
      <c r="A349" s="92"/>
      <c r="B349" s="92"/>
      <c r="C349" s="92"/>
      <c r="D349" s="92"/>
      <c r="E349" s="92"/>
      <c r="F349" s="92"/>
      <c r="G349" s="9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6" x14ac:dyDescent="0.3">
      <c r="A350" s="92"/>
      <c r="B350" s="92"/>
      <c r="C350" s="92"/>
      <c r="D350" s="92"/>
      <c r="E350" s="92"/>
      <c r="F350" s="92"/>
      <c r="G350" s="9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6" x14ac:dyDescent="0.3">
      <c r="A351" s="92"/>
      <c r="B351" s="92"/>
      <c r="C351" s="92"/>
      <c r="D351" s="92"/>
      <c r="E351" s="92"/>
      <c r="F351" s="92"/>
      <c r="G351" s="9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6" x14ac:dyDescent="0.3">
      <c r="A352" s="92"/>
      <c r="B352" s="92"/>
      <c r="C352" s="92"/>
      <c r="D352" s="92"/>
      <c r="E352" s="92"/>
      <c r="F352" s="92"/>
      <c r="G352" s="9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6" x14ac:dyDescent="0.3">
      <c r="A353" s="92"/>
      <c r="B353" s="92"/>
      <c r="C353" s="92"/>
      <c r="D353" s="92"/>
      <c r="E353" s="92"/>
      <c r="F353" s="92"/>
      <c r="G353" s="9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6" x14ac:dyDescent="0.3">
      <c r="A354" s="92"/>
      <c r="B354" s="92"/>
      <c r="C354" s="92"/>
      <c r="D354" s="92"/>
      <c r="E354" s="92"/>
      <c r="F354" s="92"/>
      <c r="G354" s="9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6" x14ac:dyDescent="0.3">
      <c r="A355" s="92"/>
      <c r="B355" s="92"/>
      <c r="C355" s="92"/>
      <c r="D355" s="92"/>
      <c r="E355" s="92"/>
      <c r="F355" s="92"/>
      <c r="G355" s="9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6" x14ac:dyDescent="0.3">
      <c r="A356" s="92"/>
      <c r="B356" s="92"/>
      <c r="C356" s="92"/>
      <c r="D356" s="92"/>
      <c r="E356" s="92"/>
      <c r="F356" s="92"/>
      <c r="G356" s="9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6" x14ac:dyDescent="0.3">
      <c r="A357" s="92"/>
      <c r="B357" s="92"/>
      <c r="C357" s="92"/>
      <c r="D357" s="92"/>
      <c r="E357" s="92"/>
      <c r="F357" s="92"/>
      <c r="G357" s="9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6" x14ac:dyDescent="0.3">
      <c r="A358" s="92"/>
      <c r="B358" s="92"/>
      <c r="C358" s="92"/>
      <c r="D358" s="92"/>
      <c r="E358" s="92"/>
      <c r="F358" s="92"/>
      <c r="G358" s="9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6" x14ac:dyDescent="0.3">
      <c r="A359" s="92"/>
      <c r="B359" s="92"/>
      <c r="C359" s="92"/>
      <c r="D359" s="92"/>
      <c r="E359" s="92"/>
      <c r="F359" s="92"/>
      <c r="G359" s="9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6" x14ac:dyDescent="0.3">
      <c r="A360" s="92"/>
      <c r="B360" s="92"/>
      <c r="C360" s="92"/>
      <c r="D360" s="92"/>
      <c r="E360" s="92"/>
      <c r="F360" s="92"/>
      <c r="G360" s="9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6" x14ac:dyDescent="0.3">
      <c r="A361" s="92"/>
      <c r="B361" s="92"/>
      <c r="C361" s="92"/>
      <c r="D361" s="92"/>
      <c r="E361" s="92"/>
      <c r="F361" s="92"/>
      <c r="G361" s="9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6" x14ac:dyDescent="0.3">
      <c r="A362" s="92"/>
      <c r="B362" s="92"/>
      <c r="C362" s="92"/>
      <c r="D362" s="92"/>
      <c r="E362" s="92"/>
      <c r="F362" s="92"/>
      <c r="G362" s="9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6" x14ac:dyDescent="0.3">
      <c r="A363" s="92"/>
      <c r="B363" s="92"/>
      <c r="C363" s="92"/>
      <c r="D363" s="92"/>
      <c r="E363" s="92"/>
      <c r="F363" s="92"/>
      <c r="G363" s="9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6" x14ac:dyDescent="0.3">
      <c r="A364" s="92"/>
      <c r="B364" s="92"/>
      <c r="C364" s="92"/>
      <c r="D364" s="92"/>
      <c r="E364" s="92"/>
      <c r="F364" s="92"/>
      <c r="G364" s="9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6" x14ac:dyDescent="0.3">
      <c r="A365" s="92"/>
      <c r="B365" s="92"/>
      <c r="C365" s="92"/>
      <c r="D365" s="92"/>
      <c r="E365" s="92"/>
      <c r="F365" s="92"/>
      <c r="G365" s="9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6" x14ac:dyDescent="0.3">
      <c r="A366" s="92"/>
      <c r="B366" s="92"/>
      <c r="C366" s="92"/>
      <c r="D366" s="92"/>
      <c r="E366" s="92"/>
      <c r="F366" s="92"/>
      <c r="G366" s="9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6" x14ac:dyDescent="0.3">
      <c r="A367" s="92"/>
      <c r="B367" s="92"/>
      <c r="C367" s="92"/>
      <c r="D367" s="92"/>
      <c r="E367" s="92"/>
      <c r="F367" s="92"/>
      <c r="G367" s="9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6" x14ac:dyDescent="0.3">
      <c r="A368" s="92"/>
      <c r="B368" s="92"/>
      <c r="C368" s="92"/>
      <c r="D368" s="92"/>
      <c r="E368" s="92"/>
      <c r="F368" s="92"/>
      <c r="G368" s="9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6" x14ac:dyDescent="0.3">
      <c r="A369" s="92"/>
      <c r="B369" s="92"/>
      <c r="C369" s="92"/>
      <c r="D369" s="92"/>
      <c r="E369" s="92"/>
      <c r="F369" s="92"/>
      <c r="G369" s="9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6" x14ac:dyDescent="0.3">
      <c r="A370" s="92"/>
      <c r="B370" s="92"/>
      <c r="C370" s="92"/>
      <c r="D370" s="92"/>
      <c r="E370" s="92"/>
      <c r="F370" s="92"/>
      <c r="G370" s="9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6" x14ac:dyDescent="0.3">
      <c r="A371" s="92"/>
      <c r="B371" s="92"/>
      <c r="C371" s="92"/>
      <c r="D371" s="92"/>
      <c r="E371" s="92"/>
      <c r="F371" s="92"/>
      <c r="G371" s="9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6" x14ac:dyDescent="0.3">
      <c r="A372" s="92"/>
      <c r="B372" s="92"/>
      <c r="C372" s="92"/>
      <c r="D372" s="92"/>
      <c r="E372" s="92"/>
      <c r="F372" s="92"/>
      <c r="G372" s="9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6" x14ac:dyDescent="0.3">
      <c r="A373" s="92"/>
      <c r="B373" s="92"/>
      <c r="C373" s="92"/>
      <c r="D373" s="92"/>
      <c r="E373" s="92"/>
      <c r="F373" s="92"/>
      <c r="G373" s="9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6" x14ac:dyDescent="0.3">
      <c r="A374" s="92"/>
      <c r="B374" s="92"/>
      <c r="C374" s="92"/>
      <c r="D374" s="92"/>
      <c r="E374" s="92"/>
      <c r="F374" s="92"/>
      <c r="G374" s="9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6" x14ac:dyDescent="0.3">
      <c r="A375" s="92"/>
      <c r="B375" s="92"/>
      <c r="C375" s="92"/>
      <c r="D375" s="92"/>
      <c r="E375" s="92"/>
      <c r="F375" s="92"/>
      <c r="G375" s="9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6" x14ac:dyDescent="0.3">
      <c r="A376" s="92"/>
      <c r="B376" s="92"/>
      <c r="C376" s="92"/>
      <c r="D376" s="92"/>
      <c r="E376" s="92"/>
      <c r="F376" s="92"/>
      <c r="G376" s="9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6" x14ac:dyDescent="0.3">
      <c r="A377" s="92"/>
      <c r="B377" s="92"/>
      <c r="C377" s="92"/>
      <c r="D377" s="92"/>
      <c r="E377" s="92"/>
      <c r="F377" s="92"/>
      <c r="G377" s="9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6" x14ac:dyDescent="0.3">
      <c r="A378" s="92"/>
      <c r="B378" s="92"/>
      <c r="C378" s="92"/>
      <c r="D378" s="92"/>
      <c r="E378" s="92"/>
      <c r="F378" s="92"/>
      <c r="G378" s="9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6" x14ac:dyDescent="0.3">
      <c r="A379" s="92"/>
      <c r="B379" s="92"/>
      <c r="C379" s="92"/>
      <c r="D379" s="92"/>
      <c r="E379" s="92"/>
      <c r="F379" s="92"/>
      <c r="G379" s="9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6" x14ac:dyDescent="0.3">
      <c r="A380" s="92"/>
      <c r="B380" s="92"/>
      <c r="C380" s="92"/>
      <c r="D380" s="92"/>
      <c r="E380" s="92"/>
      <c r="F380" s="92"/>
      <c r="G380" s="9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6" x14ac:dyDescent="0.3">
      <c r="A381" s="92"/>
      <c r="B381" s="92"/>
      <c r="C381" s="92"/>
      <c r="D381" s="92"/>
      <c r="E381" s="92"/>
      <c r="F381" s="92"/>
      <c r="G381" s="9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6" x14ac:dyDescent="0.3">
      <c r="A382" s="92"/>
      <c r="B382" s="92"/>
      <c r="C382" s="92"/>
      <c r="D382" s="92"/>
      <c r="E382" s="92"/>
      <c r="F382" s="92"/>
      <c r="G382" s="9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6" x14ac:dyDescent="0.3">
      <c r="A383" s="92"/>
      <c r="B383" s="92"/>
      <c r="C383" s="92"/>
      <c r="D383" s="92"/>
      <c r="E383" s="92"/>
      <c r="F383" s="92"/>
      <c r="G383" s="9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6" x14ac:dyDescent="0.3">
      <c r="A384" s="92"/>
      <c r="B384" s="92"/>
      <c r="C384" s="92"/>
      <c r="D384" s="92"/>
      <c r="E384" s="92"/>
      <c r="F384" s="92"/>
      <c r="G384" s="9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6" x14ac:dyDescent="0.3">
      <c r="A385" s="92"/>
      <c r="B385" s="92"/>
      <c r="C385" s="92"/>
      <c r="D385" s="92"/>
      <c r="E385" s="92"/>
      <c r="F385" s="92"/>
      <c r="G385" s="9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6" x14ac:dyDescent="0.3">
      <c r="A386" s="92"/>
      <c r="B386" s="92"/>
      <c r="C386" s="92"/>
      <c r="D386" s="92"/>
      <c r="E386" s="92"/>
      <c r="F386" s="92"/>
      <c r="G386" s="9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6" x14ac:dyDescent="0.3">
      <c r="A387" s="92"/>
      <c r="B387" s="92"/>
      <c r="C387" s="92"/>
      <c r="D387" s="92"/>
      <c r="E387" s="92"/>
      <c r="F387" s="92"/>
      <c r="G387" s="9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6" x14ac:dyDescent="0.3">
      <c r="A388" s="92"/>
      <c r="B388" s="92"/>
      <c r="C388" s="92"/>
      <c r="D388" s="92"/>
      <c r="E388" s="92"/>
      <c r="F388" s="92"/>
      <c r="G388" s="9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6" x14ac:dyDescent="0.3">
      <c r="A389" s="92"/>
      <c r="B389" s="92"/>
      <c r="C389" s="92"/>
      <c r="D389" s="92"/>
      <c r="E389" s="92"/>
      <c r="F389" s="92"/>
      <c r="G389" s="9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6" x14ac:dyDescent="0.3">
      <c r="A390" s="92"/>
      <c r="B390" s="92"/>
      <c r="C390" s="92"/>
      <c r="D390" s="92"/>
      <c r="E390" s="92"/>
      <c r="F390" s="92"/>
      <c r="G390" s="9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6" x14ac:dyDescent="0.3">
      <c r="A391" s="92"/>
      <c r="B391" s="92"/>
      <c r="C391" s="92"/>
      <c r="D391" s="92"/>
      <c r="E391" s="92"/>
      <c r="F391" s="92"/>
      <c r="G391" s="9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6" x14ac:dyDescent="0.3">
      <c r="A392" s="92"/>
      <c r="B392" s="92"/>
      <c r="C392" s="92"/>
      <c r="D392" s="92"/>
      <c r="E392" s="92"/>
      <c r="F392" s="92"/>
      <c r="G392" s="9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6" x14ac:dyDescent="0.3">
      <c r="A393" s="92"/>
      <c r="B393" s="92"/>
      <c r="C393" s="92"/>
      <c r="D393" s="92"/>
      <c r="E393" s="92"/>
      <c r="F393" s="92"/>
      <c r="G393" s="9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6" x14ac:dyDescent="0.3">
      <c r="A394" s="92"/>
      <c r="B394" s="92"/>
      <c r="C394" s="92"/>
      <c r="D394" s="92"/>
      <c r="E394" s="92"/>
      <c r="F394" s="92"/>
      <c r="G394" s="9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6" x14ac:dyDescent="0.3">
      <c r="A395" s="92"/>
      <c r="B395" s="92"/>
      <c r="C395" s="92"/>
      <c r="D395" s="92"/>
      <c r="E395" s="92"/>
      <c r="F395" s="92"/>
      <c r="G395" s="9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6" x14ac:dyDescent="0.3">
      <c r="A396" s="92"/>
      <c r="B396" s="92"/>
      <c r="C396" s="92"/>
      <c r="D396" s="92"/>
      <c r="E396" s="92"/>
      <c r="F396" s="92"/>
      <c r="G396" s="9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6" x14ac:dyDescent="0.3">
      <c r="A397" s="92"/>
      <c r="B397" s="92"/>
      <c r="C397" s="92"/>
      <c r="D397" s="92"/>
      <c r="E397" s="92"/>
      <c r="F397" s="92"/>
      <c r="G397" s="9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6" x14ac:dyDescent="0.3">
      <c r="A398" s="92"/>
      <c r="B398" s="92"/>
      <c r="C398" s="92"/>
      <c r="D398" s="92"/>
      <c r="E398" s="92"/>
      <c r="F398" s="92"/>
      <c r="G398" s="9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6" x14ac:dyDescent="0.3">
      <c r="A399" s="92"/>
      <c r="B399" s="92"/>
      <c r="C399" s="92"/>
      <c r="D399" s="92"/>
      <c r="E399" s="92"/>
      <c r="F399" s="92"/>
      <c r="G399" s="9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6" x14ac:dyDescent="0.3">
      <c r="A400" s="92"/>
      <c r="B400" s="92"/>
      <c r="C400" s="92"/>
      <c r="D400" s="92"/>
      <c r="E400" s="92"/>
      <c r="F400" s="92"/>
      <c r="G400" s="9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6" x14ac:dyDescent="0.3">
      <c r="A401" s="92"/>
      <c r="B401" s="92"/>
      <c r="C401" s="92"/>
      <c r="D401" s="92"/>
      <c r="E401" s="92"/>
      <c r="F401" s="92"/>
      <c r="G401" s="9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6" x14ac:dyDescent="0.3">
      <c r="A402" s="92"/>
      <c r="B402" s="92"/>
      <c r="C402" s="92"/>
      <c r="D402" s="92"/>
      <c r="E402" s="92"/>
      <c r="F402" s="92"/>
      <c r="G402" s="9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6" x14ac:dyDescent="0.3">
      <c r="A403" s="92"/>
      <c r="B403" s="92"/>
      <c r="C403" s="92"/>
      <c r="D403" s="92"/>
      <c r="E403" s="92"/>
      <c r="F403" s="92"/>
      <c r="G403" s="9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6" x14ac:dyDescent="0.3">
      <c r="A404" s="92"/>
      <c r="B404" s="92"/>
      <c r="C404" s="92"/>
      <c r="D404" s="92"/>
      <c r="E404" s="92"/>
      <c r="F404" s="92"/>
      <c r="G404" s="9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6" x14ac:dyDescent="0.3">
      <c r="A405" s="92"/>
      <c r="B405" s="92"/>
      <c r="C405" s="92"/>
      <c r="D405" s="92"/>
      <c r="E405" s="92"/>
      <c r="F405" s="92"/>
      <c r="G405" s="9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6" x14ac:dyDescent="0.3">
      <c r="A406" s="92"/>
      <c r="B406" s="92"/>
      <c r="C406" s="92"/>
      <c r="D406" s="92"/>
      <c r="E406" s="92"/>
      <c r="F406" s="92"/>
      <c r="G406" s="9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6" x14ac:dyDescent="0.3">
      <c r="A407" s="92"/>
      <c r="B407" s="92"/>
      <c r="C407" s="92"/>
      <c r="D407" s="92"/>
      <c r="E407" s="92"/>
      <c r="F407" s="92"/>
      <c r="G407" s="9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6" x14ac:dyDescent="0.3">
      <c r="A408" s="92"/>
      <c r="B408" s="92"/>
      <c r="C408" s="92"/>
      <c r="D408" s="92"/>
      <c r="E408" s="92"/>
      <c r="F408" s="92"/>
      <c r="G408" s="9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6" x14ac:dyDescent="0.3">
      <c r="A409" s="92"/>
      <c r="B409" s="92"/>
      <c r="C409" s="92"/>
      <c r="D409" s="92"/>
      <c r="E409" s="92"/>
      <c r="F409" s="92"/>
      <c r="G409" s="9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6" x14ac:dyDescent="0.3">
      <c r="A410" s="92"/>
      <c r="B410" s="92"/>
      <c r="C410" s="92"/>
      <c r="D410" s="92"/>
      <c r="E410" s="92"/>
      <c r="F410" s="92"/>
      <c r="G410" s="9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6" x14ac:dyDescent="0.3">
      <c r="A411" s="92"/>
      <c r="B411" s="92"/>
      <c r="C411" s="92"/>
      <c r="D411" s="92"/>
      <c r="E411" s="92"/>
      <c r="F411" s="92"/>
      <c r="G411" s="9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6" x14ac:dyDescent="0.3">
      <c r="A412" s="92"/>
      <c r="B412" s="92"/>
      <c r="C412" s="92"/>
      <c r="D412" s="92"/>
      <c r="E412" s="92"/>
      <c r="F412" s="92"/>
      <c r="G412" s="9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6" x14ac:dyDescent="0.3">
      <c r="A413" s="92"/>
      <c r="B413" s="92"/>
      <c r="C413" s="92"/>
      <c r="D413" s="92"/>
      <c r="E413" s="92"/>
      <c r="F413" s="92"/>
      <c r="G413" s="9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6" x14ac:dyDescent="0.3">
      <c r="A414" s="92"/>
      <c r="B414" s="92"/>
      <c r="C414" s="92"/>
      <c r="D414" s="92"/>
      <c r="E414" s="92"/>
      <c r="F414" s="92"/>
      <c r="G414" s="9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6" x14ac:dyDescent="0.3">
      <c r="A415" s="92"/>
      <c r="B415" s="92"/>
      <c r="C415" s="92"/>
      <c r="D415" s="92"/>
      <c r="E415" s="92"/>
      <c r="F415" s="92"/>
      <c r="G415" s="9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6" x14ac:dyDescent="0.3">
      <c r="A416" s="92"/>
      <c r="B416" s="92"/>
      <c r="C416" s="92"/>
      <c r="D416" s="92"/>
      <c r="E416" s="92"/>
      <c r="F416" s="92"/>
      <c r="G416" s="9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6" x14ac:dyDescent="0.3">
      <c r="A417" s="92"/>
      <c r="B417" s="92"/>
      <c r="C417" s="92"/>
      <c r="D417" s="92"/>
      <c r="E417" s="92"/>
      <c r="F417" s="92"/>
      <c r="G417" s="9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6" x14ac:dyDescent="0.3">
      <c r="A418" s="92"/>
      <c r="B418" s="92"/>
      <c r="C418" s="92"/>
      <c r="D418" s="92"/>
      <c r="E418" s="92"/>
      <c r="F418" s="92"/>
      <c r="G418" s="9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6" x14ac:dyDescent="0.3">
      <c r="A419" s="92"/>
      <c r="B419" s="92"/>
      <c r="C419" s="92"/>
      <c r="D419" s="92"/>
      <c r="E419" s="92"/>
      <c r="F419" s="92"/>
      <c r="G419" s="9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6" x14ac:dyDescent="0.3">
      <c r="A420" s="92"/>
      <c r="B420" s="92"/>
      <c r="C420" s="92"/>
      <c r="D420" s="92"/>
      <c r="E420" s="92"/>
      <c r="F420" s="92"/>
      <c r="G420" s="9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6" x14ac:dyDescent="0.3">
      <c r="A421" s="92"/>
      <c r="B421" s="92"/>
      <c r="C421" s="92"/>
      <c r="D421" s="92"/>
      <c r="E421" s="92"/>
      <c r="F421" s="92"/>
      <c r="G421" s="9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6" x14ac:dyDescent="0.3">
      <c r="A422" s="92"/>
      <c r="B422" s="92"/>
      <c r="C422" s="92"/>
      <c r="D422" s="92"/>
      <c r="E422" s="92"/>
      <c r="F422" s="92"/>
      <c r="G422" s="9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6" x14ac:dyDescent="0.3">
      <c r="A423" s="92"/>
      <c r="B423" s="92"/>
      <c r="C423" s="92"/>
      <c r="D423" s="92"/>
      <c r="E423" s="92"/>
      <c r="F423" s="92"/>
      <c r="G423" s="9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6" x14ac:dyDescent="0.3">
      <c r="A424" s="92"/>
      <c r="B424" s="92"/>
      <c r="C424" s="92"/>
      <c r="D424" s="92"/>
      <c r="E424" s="92"/>
      <c r="F424" s="92"/>
      <c r="G424" s="9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6" x14ac:dyDescent="0.3">
      <c r="A425" s="92"/>
      <c r="B425" s="92"/>
      <c r="C425" s="92"/>
      <c r="D425" s="92"/>
      <c r="E425" s="92"/>
      <c r="F425" s="92"/>
      <c r="G425" s="9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6" x14ac:dyDescent="0.3">
      <c r="A426" s="92"/>
      <c r="B426" s="92"/>
      <c r="C426" s="92"/>
      <c r="D426" s="92"/>
      <c r="E426" s="92"/>
      <c r="F426" s="92"/>
      <c r="G426" s="9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6" x14ac:dyDescent="0.3">
      <c r="A427" s="92"/>
      <c r="B427" s="92"/>
      <c r="C427" s="92"/>
      <c r="D427" s="92"/>
      <c r="E427" s="92"/>
      <c r="F427" s="92"/>
      <c r="G427" s="9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6" x14ac:dyDescent="0.3">
      <c r="A428" s="92"/>
      <c r="B428" s="92"/>
      <c r="C428" s="92"/>
      <c r="D428" s="92"/>
      <c r="E428" s="92"/>
      <c r="F428" s="92"/>
      <c r="G428" s="9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6" x14ac:dyDescent="0.3">
      <c r="A429" s="92"/>
      <c r="B429" s="92"/>
      <c r="C429" s="92"/>
      <c r="D429" s="92"/>
      <c r="E429" s="92"/>
      <c r="F429" s="92"/>
      <c r="G429" s="9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6" x14ac:dyDescent="0.3">
      <c r="A430" s="92"/>
      <c r="B430" s="92"/>
      <c r="C430" s="92"/>
      <c r="D430" s="92"/>
      <c r="E430" s="92"/>
      <c r="F430" s="92"/>
      <c r="G430" s="9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6" x14ac:dyDescent="0.3">
      <c r="A431" s="92"/>
      <c r="B431" s="92"/>
      <c r="C431" s="92"/>
      <c r="D431" s="92"/>
      <c r="E431" s="92"/>
      <c r="F431" s="92"/>
      <c r="G431" s="9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6" x14ac:dyDescent="0.3">
      <c r="A432" s="92"/>
      <c r="B432" s="92"/>
      <c r="C432" s="92"/>
      <c r="D432" s="92"/>
      <c r="E432" s="92"/>
      <c r="F432" s="92"/>
      <c r="G432" s="9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6" x14ac:dyDescent="0.3">
      <c r="A433" s="92"/>
      <c r="B433" s="92"/>
      <c r="C433" s="92"/>
      <c r="D433" s="92"/>
      <c r="E433" s="92"/>
      <c r="F433" s="92"/>
      <c r="G433" s="9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6" x14ac:dyDescent="0.3">
      <c r="A434" s="92"/>
      <c r="B434" s="92"/>
      <c r="C434" s="92"/>
      <c r="D434" s="92"/>
      <c r="E434" s="92"/>
      <c r="F434" s="92"/>
      <c r="G434" s="9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6" x14ac:dyDescent="0.3">
      <c r="A435" s="92"/>
      <c r="B435" s="92"/>
      <c r="C435" s="92"/>
      <c r="D435" s="92"/>
      <c r="E435" s="92"/>
      <c r="F435" s="92"/>
      <c r="G435" s="9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6" x14ac:dyDescent="0.3">
      <c r="A436" s="92"/>
      <c r="B436" s="92"/>
      <c r="C436" s="92"/>
      <c r="D436" s="92"/>
      <c r="E436" s="92"/>
      <c r="F436" s="92"/>
      <c r="G436" s="9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6" x14ac:dyDescent="0.3">
      <c r="A437" s="92"/>
      <c r="B437" s="92"/>
      <c r="C437" s="92"/>
      <c r="D437" s="92"/>
      <c r="E437" s="92"/>
      <c r="F437" s="92"/>
      <c r="G437" s="9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6" x14ac:dyDescent="0.3">
      <c r="A438" s="92"/>
      <c r="B438" s="92"/>
      <c r="C438" s="92"/>
      <c r="D438" s="92"/>
      <c r="E438" s="92"/>
      <c r="F438" s="92"/>
      <c r="G438" s="9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6" x14ac:dyDescent="0.3">
      <c r="A439" s="92"/>
      <c r="B439" s="92"/>
      <c r="C439" s="92"/>
      <c r="D439" s="92"/>
      <c r="E439" s="92"/>
      <c r="F439" s="92"/>
      <c r="G439" s="9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6" x14ac:dyDescent="0.3">
      <c r="A440" s="92"/>
      <c r="B440" s="92"/>
      <c r="C440" s="92"/>
      <c r="D440" s="92"/>
      <c r="E440" s="92"/>
      <c r="F440" s="92"/>
      <c r="G440" s="9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6" x14ac:dyDescent="0.3">
      <c r="A441" s="92"/>
      <c r="B441" s="92"/>
      <c r="C441" s="92"/>
      <c r="D441" s="92"/>
      <c r="E441" s="92"/>
      <c r="F441" s="92"/>
      <c r="G441" s="9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6" x14ac:dyDescent="0.3">
      <c r="A442" s="92"/>
      <c r="B442" s="92"/>
      <c r="C442" s="92"/>
      <c r="D442" s="92"/>
      <c r="E442" s="92"/>
      <c r="F442" s="92"/>
      <c r="G442" s="9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6" x14ac:dyDescent="0.3">
      <c r="A443" s="92"/>
      <c r="B443" s="92"/>
      <c r="C443" s="92"/>
      <c r="D443" s="92"/>
      <c r="E443" s="92"/>
      <c r="F443" s="92"/>
      <c r="G443" s="9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6" x14ac:dyDescent="0.3">
      <c r="A444" s="92"/>
      <c r="B444" s="92"/>
      <c r="C444" s="92"/>
      <c r="D444" s="92"/>
      <c r="E444" s="92"/>
      <c r="F444" s="92"/>
      <c r="G444" s="9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6" x14ac:dyDescent="0.3">
      <c r="A445" s="92"/>
      <c r="B445" s="92"/>
      <c r="C445" s="92"/>
      <c r="D445" s="92"/>
      <c r="E445" s="92"/>
      <c r="F445" s="92"/>
      <c r="G445" s="9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6" x14ac:dyDescent="0.3">
      <c r="A446" s="92"/>
      <c r="B446" s="92"/>
      <c r="C446" s="92"/>
      <c r="D446" s="92"/>
      <c r="E446" s="92"/>
      <c r="F446" s="92"/>
      <c r="G446" s="9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6" x14ac:dyDescent="0.3">
      <c r="A447" s="92"/>
      <c r="B447" s="92"/>
      <c r="C447" s="92"/>
      <c r="D447" s="92"/>
      <c r="E447" s="92"/>
      <c r="F447" s="92"/>
      <c r="G447" s="9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6" x14ac:dyDescent="0.3">
      <c r="A448" s="92"/>
      <c r="B448" s="92"/>
      <c r="C448" s="92"/>
      <c r="D448" s="92"/>
      <c r="E448" s="92"/>
      <c r="F448" s="92"/>
      <c r="G448" s="9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6" x14ac:dyDescent="0.3">
      <c r="A449" s="92"/>
      <c r="B449" s="92"/>
      <c r="C449" s="92"/>
      <c r="D449" s="92"/>
      <c r="E449" s="92"/>
      <c r="F449" s="92"/>
      <c r="G449" s="9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6" x14ac:dyDescent="0.3">
      <c r="A450" s="92"/>
      <c r="B450" s="92"/>
      <c r="C450" s="92"/>
      <c r="D450" s="92"/>
      <c r="E450" s="92"/>
      <c r="F450" s="92"/>
      <c r="G450" s="9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6" x14ac:dyDescent="0.3">
      <c r="A451" s="92"/>
      <c r="B451" s="92"/>
      <c r="C451" s="92"/>
      <c r="D451" s="92"/>
      <c r="E451" s="92"/>
      <c r="F451" s="92"/>
      <c r="G451" s="9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6" x14ac:dyDescent="0.3">
      <c r="A452" s="92"/>
      <c r="B452" s="92"/>
      <c r="C452" s="92"/>
      <c r="D452" s="92"/>
      <c r="E452" s="92"/>
      <c r="F452" s="92"/>
      <c r="G452" s="9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6" x14ac:dyDescent="0.3">
      <c r="A453" s="92"/>
      <c r="B453" s="92"/>
      <c r="C453" s="92"/>
      <c r="D453" s="92"/>
      <c r="E453" s="92"/>
      <c r="F453" s="92"/>
      <c r="G453" s="9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6" x14ac:dyDescent="0.3">
      <c r="A454" s="92"/>
      <c r="B454" s="92"/>
      <c r="C454" s="92"/>
      <c r="D454" s="92"/>
      <c r="E454" s="92"/>
      <c r="F454" s="92"/>
      <c r="G454" s="9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6" x14ac:dyDescent="0.3">
      <c r="A455" s="92"/>
      <c r="B455" s="92"/>
      <c r="C455" s="92"/>
      <c r="D455" s="92"/>
      <c r="E455" s="92"/>
      <c r="F455" s="92"/>
      <c r="G455" s="9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6" x14ac:dyDescent="0.3">
      <c r="A456" s="92"/>
      <c r="B456" s="92"/>
      <c r="C456" s="92"/>
      <c r="D456" s="92"/>
      <c r="E456" s="92"/>
      <c r="F456" s="92"/>
      <c r="G456" s="9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6" x14ac:dyDescent="0.3">
      <c r="A457" s="92"/>
      <c r="B457" s="92"/>
      <c r="C457" s="92"/>
      <c r="D457" s="92"/>
      <c r="E457" s="92"/>
      <c r="F457" s="92"/>
      <c r="G457" s="9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6" x14ac:dyDescent="0.3">
      <c r="A458" s="92"/>
      <c r="B458" s="92"/>
      <c r="C458" s="92"/>
      <c r="D458" s="92"/>
      <c r="E458" s="92"/>
      <c r="F458" s="92"/>
      <c r="G458" s="9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6" x14ac:dyDescent="0.3">
      <c r="A459" s="92"/>
      <c r="B459" s="92"/>
      <c r="C459" s="92"/>
      <c r="D459" s="92"/>
      <c r="E459" s="92"/>
      <c r="F459" s="92"/>
      <c r="G459" s="9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6" x14ac:dyDescent="0.3">
      <c r="A460" s="92"/>
      <c r="B460" s="92"/>
      <c r="C460" s="92"/>
      <c r="D460" s="92"/>
      <c r="E460" s="92"/>
      <c r="F460" s="92"/>
      <c r="G460" s="9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6" x14ac:dyDescent="0.3">
      <c r="A461" s="92"/>
      <c r="B461" s="92"/>
      <c r="C461" s="92"/>
      <c r="D461" s="92"/>
      <c r="E461" s="92"/>
      <c r="F461" s="92"/>
      <c r="G461" s="9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6" x14ac:dyDescent="0.3">
      <c r="A462" s="92"/>
      <c r="B462" s="92"/>
      <c r="C462" s="92"/>
      <c r="D462" s="92"/>
      <c r="E462" s="92"/>
      <c r="F462" s="92"/>
      <c r="G462" s="9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6" x14ac:dyDescent="0.3">
      <c r="A463" s="92"/>
      <c r="B463" s="92"/>
      <c r="C463" s="92"/>
      <c r="D463" s="92"/>
      <c r="E463" s="92"/>
      <c r="F463" s="92"/>
      <c r="G463" s="9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6" x14ac:dyDescent="0.3">
      <c r="A464" s="92"/>
      <c r="B464" s="92"/>
      <c r="C464" s="92"/>
      <c r="D464" s="92"/>
      <c r="E464" s="92"/>
      <c r="F464" s="92"/>
      <c r="G464" s="9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6" x14ac:dyDescent="0.3">
      <c r="A465" s="92"/>
      <c r="B465" s="92"/>
      <c r="C465" s="92"/>
      <c r="D465" s="92"/>
      <c r="E465" s="92"/>
      <c r="F465" s="92"/>
      <c r="G465" s="9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6" x14ac:dyDescent="0.3">
      <c r="A466" s="92"/>
      <c r="B466" s="92"/>
      <c r="C466" s="92"/>
      <c r="D466" s="92"/>
      <c r="E466" s="92"/>
      <c r="F466" s="92"/>
      <c r="G466" s="9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6" x14ac:dyDescent="0.3">
      <c r="A467" s="92"/>
      <c r="B467" s="92"/>
      <c r="C467" s="92"/>
      <c r="D467" s="92"/>
      <c r="E467" s="92"/>
      <c r="F467" s="92"/>
      <c r="G467" s="9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6" x14ac:dyDescent="0.3">
      <c r="A468" s="92"/>
      <c r="B468" s="92"/>
      <c r="C468" s="92"/>
      <c r="D468" s="92"/>
      <c r="E468" s="92"/>
      <c r="F468" s="92"/>
      <c r="G468" s="9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6" x14ac:dyDescent="0.3">
      <c r="A469" s="92"/>
      <c r="B469" s="92"/>
      <c r="C469" s="92"/>
      <c r="D469" s="92"/>
      <c r="E469" s="92"/>
      <c r="F469" s="92"/>
      <c r="G469" s="9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6" x14ac:dyDescent="0.3">
      <c r="A470" s="92"/>
      <c r="B470" s="92"/>
      <c r="C470" s="92"/>
      <c r="D470" s="92"/>
      <c r="E470" s="92"/>
      <c r="F470" s="92"/>
      <c r="G470" s="9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6" x14ac:dyDescent="0.3">
      <c r="A471" s="92"/>
      <c r="B471" s="92"/>
      <c r="C471" s="92"/>
      <c r="D471" s="92"/>
      <c r="E471" s="92"/>
      <c r="F471" s="92"/>
      <c r="G471" s="9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6" x14ac:dyDescent="0.3">
      <c r="A472" s="92"/>
      <c r="B472" s="92"/>
      <c r="C472" s="92"/>
      <c r="D472" s="92"/>
      <c r="E472" s="92"/>
      <c r="F472" s="92"/>
      <c r="G472" s="9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6" x14ac:dyDescent="0.3">
      <c r="A473" s="92"/>
      <c r="B473" s="92"/>
      <c r="C473" s="92"/>
      <c r="D473" s="92"/>
      <c r="E473" s="92"/>
      <c r="F473" s="92"/>
      <c r="G473" s="9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6" x14ac:dyDescent="0.3">
      <c r="A474" s="92"/>
      <c r="B474" s="92"/>
      <c r="C474" s="92"/>
      <c r="D474" s="92"/>
      <c r="E474" s="92"/>
      <c r="F474" s="92"/>
      <c r="G474" s="9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6" x14ac:dyDescent="0.3">
      <c r="A475" s="92"/>
      <c r="B475" s="92"/>
      <c r="C475" s="92"/>
      <c r="D475" s="92"/>
      <c r="E475" s="92"/>
      <c r="F475" s="92"/>
      <c r="G475" s="9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6" x14ac:dyDescent="0.3">
      <c r="A476" s="92"/>
      <c r="B476" s="92"/>
      <c r="C476" s="92"/>
      <c r="D476" s="92"/>
      <c r="E476" s="92"/>
      <c r="F476" s="92"/>
      <c r="G476" s="9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6" x14ac:dyDescent="0.3">
      <c r="A477" s="92"/>
      <c r="B477" s="92"/>
      <c r="C477" s="92"/>
      <c r="D477" s="92"/>
      <c r="E477" s="92"/>
      <c r="F477" s="92"/>
      <c r="G477" s="9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6" x14ac:dyDescent="0.3">
      <c r="A478" s="92"/>
      <c r="B478" s="92"/>
      <c r="C478" s="92"/>
      <c r="D478" s="92"/>
      <c r="E478" s="92"/>
      <c r="F478" s="92"/>
      <c r="G478" s="9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6" x14ac:dyDescent="0.3">
      <c r="A479" s="92"/>
      <c r="B479" s="92"/>
      <c r="C479" s="92"/>
      <c r="D479" s="92"/>
      <c r="E479" s="92"/>
      <c r="F479" s="92"/>
      <c r="G479" s="9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6" x14ac:dyDescent="0.3">
      <c r="A480" s="92"/>
      <c r="B480" s="92"/>
      <c r="C480" s="92"/>
      <c r="D480" s="92"/>
      <c r="E480" s="92"/>
      <c r="F480" s="92"/>
      <c r="G480" s="9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6" x14ac:dyDescent="0.3">
      <c r="A481" s="92"/>
      <c r="B481" s="92"/>
      <c r="C481" s="92"/>
      <c r="D481" s="92"/>
      <c r="E481" s="92"/>
      <c r="F481" s="92"/>
      <c r="G481" s="9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6" x14ac:dyDescent="0.3">
      <c r="A482" s="92"/>
      <c r="B482" s="92"/>
      <c r="C482" s="92"/>
      <c r="D482" s="92"/>
      <c r="E482" s="92"/>
      <c r="F482" s="92"/>
      <c r="G482" s="9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6" x14ac:dyDescent="0.3">
      <c r="A483" s="92"/>
      <c r="B483" s="92"/>
      <c r="C483" s="92"/>
      <c r="D483" s="92"/>
      <c r="E483" s="92"/>
      <c r="F483" s="92"/>
      <c r="G483" s="9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6" x14ac:dyDescent="0.3">
      <c r="A484" s="92"/>
      <c r="B484" s="92"/>
      <c r="C484" s="92"/>
      <c r="D484" s="92"/>
      <c r="E484" s="92"/>
      <c r="F484" s="92"/>
      <c r="G484" s="9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6" x14ac:dyDescent="0.3">
      <c r="A485" s="92"/>
      <c r="B485" s="92"/>
      <c r="C485" s="92"/>
      <c r="D485" s="92"/>
      <c r="E485" s="92"/>
      <c r="F485" s="92"/>
      <c r="G485" s="9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6" x14ac:dyDescent="0.3">
      <c r="A486" s="92"/>
      <c r="B486" s="92"/>
      <c r="C486" s="92"/>
      <c r="D486" s="92"/>
      <c r="E486" s="92"/>
      <c r="F486" s="92"/>
      <c r="G486" s="9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6" x14ac:dyDescent="0.3">
      <c r="A487" s="92"/>
      <c r="B487" s="92"/>
      <c r="C487" s="92"/>
      <c r="D487" s="92"/>
      <c r="E487" s="92"/>
      <c r="F487" s="92"/>
      <c r="G487" s="9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6" x14ac:dyDescent="0.3">
      <c r="A488" s="92"/>
      <c r="B488" s="92"/>
      <c r="C488" s="92"/>
      <c r="D488" s="92"/>
      <c r="E488" s="92"/>
      <c r="F488" s="92"/>
      <c r="G488" s="9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6" x14ac:dyDescent="0.3">
      <c r="A489" s="92"/>
      <c r="B489" s="92"/>
      <c r="C489" s="92"/>
      <c r="D489" s="92"/>
      <c r="E489" s="92"/>
      <c r="F489" s="92"/>
      <c r="G489" s="9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6" x14ac:dyDescent="0.3">
      <c r="A490" s="92"/>
      <c r="B490" s="92"/>
      <c r="C490" s="92"/>
      <c r="D490" s="92"/>
      <c r="E490" s="92"/>
      <c r="F490" s="92"/>
      <c r="G490" s="9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6" x14ac:dyDescent="0.3">
      <c r="A491" s="92"/>
      <c r="B491" s="92"/>
      <c r="C491" s="92"/>
      <c r="D491" s="92"/>
      <c r="E491" s="92"/>
      <c r="F491" s="92"/>
      <c r="G491" s="9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6" x14ac:dyDescent="0.3">
      <c r="A492" s="92"/>
      <c r="B492" s="92"/>
      <c r="C492" s="92"/>
      <c r="D492" s="92"/>
      <c r="E492" s="92"/>
      <c r="F492" s="92"/>
      <c r="G492" s="9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6" x14ac:dyDescent="0.3">
      <c r="A493" s="92"/>
      <c r="B493" s="92"/>
      <c r="C493" s="92"/>
      <c r="D493" s="92"/>
      <c r="E493" s="92"/>
      <c r="F493" s="92"/>
      <c r="G493" s="9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6" x14ac:dyDescent="0.3">
      <c r="A494" s="92"/>
      <c r="B494" s="92"/>
      <c r="C494" s="92"/>
      <c r="D494" s="92"/>
      <c r="E494" s="92"/>
      <c r="F494" s="92"/>
      <c r="G494" s="9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6" x14ac:dyDescent="0.3">
      <c r="A495" s="92"/>
      <c r="B495" s="92"/>
      <c r="C495" s="92"/>
      <c r="D495" s="92"/>
      <c r="E495" s="92"/>
      <c r="F495" s="92"/>
      <c r="G495" s="9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6" x14ac:dyDescent="0.3">
      <c r="A496" s="92"/>
      <c r="B496" s="92"/>
      <c r="C496" s="92"/>
      <c r="D496" s="92"/>
      <c r="E496" s="92"/>
      <c r="F496" s="92"/>
      <c r="G496" s="9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6" x14ac:dyDescent="0.3">
      <c r="A497" s="92"/>
      <c r="B497" s="92"/>
      <c r="C497" s="92"/>
      <c r="D497" s="92"/>
      <c r="E497" s="92"/>
      <c r="F497" s="92"/>
      <c r="G497" s="9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6" x14ac:dyDescent="0.3">
      <c r="A498" s="92"/>
      <c r="B498" s="92"/>
      <c r="C498" s="92"/>
      <c r="D498" s="92"/>
      <c r="E498" s="92"/>
      <c r="F498" s="92"/>
      <c r="G498" s="9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6" x14ac:dyDescent="0.3">
      <c r="A499" s="92"/>
      <c r="B499" s="92"/>
      <c r="C499" s="92"/>
      <c r="D499" s="92"/>
      <c r="E499" s="92"/>
      <c r="F499" s="92"/>
      <c r="G499" s="9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6" x14ac:dyDescent="0.3">
      <c r="A500" s="92"/>
      <c r="B500" s="92"/>
      <c r="C500" s="92"/>
      <c r="D500" s="92"/>
      <c r="E500" s="92"/>
      <c r="F500" s="92"/>
      <c r="G500" s="9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6" x14ac:dyDescent="0.3">
      <c r="A501" s="92"/>
      <c r="B501" s="92"/>
      <c r="C501" s="92"/>
      <c r="D501" s="92"/>
      <c r="E501" s="92"/>
      <c r="F501" s="92"/>
      <c r="G501" s="9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6" x14ac:dyDescent="0.3">
      <c r="A502" s="92"/>
      <c r="B502" s="92"/>
      <c r="C502" s="92"/>
      <c r="D502" s="92"/>
      <c r="E502" s="92"/>
      <c r="F502" s="92"/>
      <c r="G502" s="9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6" x14ac:dyDescent="0.3">
      <c r="A503" s="92"/>
      <c r="B503" s="92"/>
      <c r="C503" s="92"/>
      <c r="D503" s="92"/>
      <c r="E503" s="92"/>
      <c r="F503" s="92"/>
      <c r="G503" s="9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6" x14ac:dyDescent="0.3">
      <c r="A504" s="92"/>
      <c r="B504" s="92"/>
      <c r="C504" s="92"/>
      <c r="D504" s="92"/>
      <c r="E504" s="92"/>
      <c r="F504" s="92"/>
      <c r="G504" s="9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6" x14ac:dyDescent="0.3">
      <c r="A505" s="92"/>
      <c r="B505" s="92"/>
      <c r="C505" s="92"/>
      <c r="D505" s="92"/>
      <c r="E505" s="92"/>
      <c r="F505" s="92"/>
      <c r="G505" s="9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6" x14ac:dyDescent="0.3">
      <c r="A506" s="92"/>
      <c r="B506" s="92"/>
      <c r="C506" s="92"/>
      <c r="D506" s="92"/>
      <c r="E506" s="92"/>
      <c r="F506" s="92"/>
      <c r="G506" s="9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6" x14ac:dyDescent="0.3">
      <c r="A507" s="92"/>
      <c r="B507" s="92"/>
      <c r="C507" s="92"/>
      <c r="D507" s="92"/>
      <c r="E507" s="92"/>
      <c r="F507" s="92"/>
      <c r="G507" s="9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6" x14ac:dyDescent="0.3">
      <c r="A508" s="92"/>
      <c r="B508" s="92"/>
      <c r="C508" s="92"/>
      <c r="D508" s="92"/>
      <c r="E508" s="92"/>
      <c r="F508" s="92"/>
      <c r="G508" s="9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6" x14ac:dyDescent="0.3">
      <c r="A509" s="92"/>
      <c r="B509" s="92"/>
      <c r="C509" s="92"/>
      <c r="D509" s="92"/>
      <c r="E509" s="92"/>
      <c r="F509" s="92"/>
      <c r="G509" s="9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6" x14ac:dyDescent="0.3">
      <c r="A510" s="92"/>
      <c r="B510" s="92"/>
      <c r="C510" s="92"/>
      <c r="D510" s="92"/>
      <c r="E510" s="92"/>
      <c r="F510" s="92"/>
      <c r="G510" s="9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6" x14ac:dyDescent="0.3">
      <c r="A511" s="92"/>
      <c r="B511" s="92"/>
      <c r="C511" s="92"/>
      <c r="D511" s="92"/>
      <c r="E511" s="92"/>
      <c r="F511" s="92"/>
      <c r="G511" s="9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6" x14ac:dyDescent="0.3">
      <c r="A512" s="92"/>
      <c r="B512" s="92"/>
      <c r="C512" s="92"/>
      <c r="D512" s="92"/>
      <c r="E512" s="92"/>
      <c r="F512" s="92"/>
      <c r="G512" s="9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6" x14ac:dyDescent="0.3">
      <c r="A513" s="92"/>
      <c r="B513" s="92"/>
      <c r="C513" s="92"/>
      <c r="D513" s="92"/>
      <c r="E513" s="92"/>
      <c r="F513" s="92"/>
      <c r="G513" s="9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6" x14ac:dyDescent="0.3">
      <c r="A514" s="92"/>
      <c r="B514" s="92"/>
      <c r="C514" s="92"/>
      <c r="D514" s="92"/>
      <c r="E514" s="92"/>
      <c r="F514" s="92"/>
      <c r="G514" s="9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6" x14ac:dyDescent="0.3">
      <c r="A515" s="92"/>
      <c r="B515" s="92"/>
      <c r="C515" s="92"/>
      <c r="D515" s="92"/>
      <c r="E515" s="92"/>
      <c r="F515" s="92"/>
      <c r="G515" s="9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6" x14ac:dyDescent="0.3">
      <c r="A516" s="92"/>
      <c r="B516" s="92"/>
      <c r="C516" s="92"/>
      <c r="D516" s="92"/>
      <c r="E516" s="92"/>
      <c r="F516" s="92"/>
      <c r="G516" s="9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6" x14ac:dyDescent="0.3">
      <c r="A517" s="92"/>
      <c r="B517" s="92"/>
      <c r="C517" s="92"/>
      <c r="D517" s="92"/>
      <c r="E517" s="92"/>
      <c r="F517" s="92"/>
      <c r="G517" s="9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6" x14ac:dyDescent="0.3">
      <c r="A518" s="92"/>
      <c r="B518" s="92"/>
      <c r="C518" s="92"/>
      <c r="D518" s="92"/>
      <c r="E518" s="92"/>
      <c r="F518" s="92"/>
      <c r="G518" s="9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6" x14ac:dyDescent="0.3">
      <c r="A519" s="92"/>
      <c r="B519" s="92"/>
      <c r="C519" s="92"/>
      <c r="D519" s="92"/>
      <c r="E519" s="92"/>
      <c r="F519" s="92"/>
      <c r="G519" s="9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6" x14ac:dyDescent="0.3">
      <c r="A520" s="92"/>
      <c r="B520" s="92"/>
      <c r="C520" s="92"/>
      <c r="D520" s="92"/>
      <c r="E520" s="92"/>
      <c r="F520" s="92"/>
      <c r="G520" s="9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6" x14ac:dyDescent="0.3">
      <c r="A521" s="92"/>
      <c r="B521" s="92"/>
      <c r="C521" s="92"/>
      <c r="D521" s="92"/>
      <c r="E521" s="92"/>
      <c r="F521" s="92"/>
      <c r="G521" s="9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6" x14ac:dyDescent="0.3">
      <c r="A522" s="92"/>
      <c r="B522" s="92"/>
      <c r="C522" s="92"/>
      <c r="D522" s="92"/>
      <c r="E522" s="92"/>
      <c r="F522" s="92"/>
      <c r="G522" s="9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6" x14ac:dyDescent="0.3">
      <c r="A523" s="92"/>
      <c r="B523" s="92"/>
      <c r="C523" s="92"/>
      <c r="D523" s="92"/>
      <c r="E523" s="92"/>
      <c r="F523" s="92"/>
      <c r="G523" s="9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6" x14ac:dyDescent="0.3">
      <c r="A524" s="92"/>
      <c r="B524" s="92"/>
      <c r="C524" s="92"/>
      <c r="D524" s="92"/>
      <c r="E524" s="92"/>
      <c r="F524" s="92"/>
      <c r="G524" s="9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6" x14ac:dyDescent="0.3">
      <c r="A525" s="92"/>
      <c r="B525" s="92"/>
      <c r="C525" s="92"/>
      <c r="D525" s="92"/>
      <c r="E525" s="92"/>
      <c r="F525" s="92"/>
      <c r="G525" s="9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6" x14ac:dyDescent="0.3">
      <c r="A526" s="92"/>
      <c r="B526" s="92"/>
      <c r="C526" s="92"/>
      <c r="D526" s="92"/>
      <c r="E526" s="92"/>
      <c r="F526" s="92"/>
      <c r="G526" s="9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6" x14ac:dyDescent="0.3">
      <c r="A527" s="92"/>
      <c r="B527" s="92"/>
      <c r="C527" s="92"/>
      <c r="D527" s="92"/>
      <c r="E527" s="92"/>
      <c r="F527" s="92"/>
      <c r="G527" s="9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6" x14ac:dyDescent="0.3">
      <c r="A528" s="92"/>
      <c r="B528" s="92"/>
      <c r="C528" s="92"/>
      <c r="D528" s="92"/>
      <c r="E528" s="92"/>
      <c r="F528" s="92"/>
      <c r="G528" s="9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6" x14ac:dyDescent="0.3">
      <c r="A529" s="92"/>
      <c r="B529" s="92"/>
      <c r="C529" s="92"/>
      <c r="D529" s="92"/>
      <c r="E529" s="92"/>
      <c r="F529" s="92"/>
      <c r="G529" s="9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6" x14ac:dyDescent="0.3">
      <c r="A530" s="92"/>
      <c r="B530" s="92"/>
      <c r="C530" s="92"/>
      <c r="D530" s="92"/>
      <c r="E530" s="92"/>
      <c r="F530" s="92"/>
      <c r="G530" s="9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6" x14ac:dyDescent="0.3">
      <c r="A531" s="92"/>
      <c r="B531" s="92"/>
      <c r="C531" s="92"/>
      <c r="D531" s="92"/>
      <c r="E531" s="92"/>
      <c r="F531" s="92"/>
      <c r="G531" s="9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6" x14ac:dyDescent="0.3">
      <c r="A532" s="92"/>
      <c r="B532" s="92"/>
      <c r="C532" s="92"/>
      <c r="D532" s="92"/>
      <c r="E532" s="92"/>
      <c r="F532" s="92"/>
      <c r="G532" s="9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6" x14ac:dyDescent="0.3">
      <c r="A533" s="92"/>
      <c r="B533" s="92"/>
      <c r="C533" s="92"/>
      <c r="D533" s="92"/>
      <c r="E533" s="92"/>
      <c r="F533" s="92"/>
      <c r="G533" s="9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6" x14ac:dyDescent="0.3">
      <c r="A534" s="92"/>
      <c r="B534" s="92"/>
      <c r="C534" s="92"/>
      <c r="D534" s="92"/>
      <c r="E534" s="92"/>
      <c r="F534" s="92"/>
      <c r="G534" s="9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6" x14ac:dyDescent="0.3">
      <c r="A535" s="92"/>
      <c r="B535" s="92"/>
      <c r="C535" s="92"/>
      <c r="D535" s="92"/>
      <c r="E535" s="92"/>
      <c r="F535" s="92"/>
      <c r="G535" s="9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6" x14ac:dyDescent="0.3">
      <c r="A536" s="92"/>
      <c r="B536" s="92"/>
      <c r="C536" s="92"/>
      <c r="D536" s="92"/>
      <c r="E536" s="92"/>
      <c r="F536" s="92"/>
      <c r="G536" s="9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6" x14ac:dyDescent="0.3">
      <c r="A537" s="92"/>
      <c r="B537" s="92"/>
      <c r="C537" s="92"/>
      <c r="D537" s="92"/>
      <c r="E537" s="92"/>
      <c r="F537" s="92"/>
      <c r="G537" s="9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6" x14ac:dyDescent="0.3">
      <c r="A538" s="92"/>
      <c r="B538" s="92"/>
      <c r="C538" s="92"/>
      <c r="D538" s="92"/>
      <c r="E538" s="92"/>
      <c r="F538" s="92"/>
      <c r="G538" s="9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6" x14ac:dyDescent="0.3">
      <c r="A539" s="92"/>
      <c r="B539" s="92"/>
      <c r="C539" s="92"/>
      <c r="D539" s="92"/>
      <c r="E539" s="92"/>
      <c r="F539" s="92"/>
      <c r="G539" s="9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6" x14ac:dyDescent="0.3">
      <c r="A540" s="92"/>
      <c r="B540" s="92"/>
      <c r="C540" s="92"/>
      <c r="D540" s="92"/>
      <c r="E540" s="92"/>
      <c r="F540" s="92"/>
      <c r="G540" s="9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6" x14ac:dyDescent="0.3">
      <c r="A541" s="92"/>
      <c r="B541" s="92"/>
      <c r="C541" s="92"/>
      <c r="D541" s="92"/>
      <c r="E541" s="92"/>
      <c r="F541" s="92"/>
      <c r="G541" s="9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6" x14ac:dyDescent="0.3">
      <c r="A542" s="92"/>
      <c r="B542" s="92"/>
      <c r="C542" s="92"/>
      <c r="D542" s="92"/>
      <c r="E542" s="92"/>
      <c r="F542" s="92"/>
      <c r="G542" s="9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6" x14ac:dyDescent="0.3">
      <c r="A543" s="92"/>
      <c r="B543" s="92"/>
      <c r="C543" s="92"/>
      <c r="D543" s="92"/>
      <c r="E543" s="92"/>
      <c r="F543" s="92"/>
      <c r="G543" s="9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6" x14ac:dyDescent="0.3">
      <c r="A544" s="92"/>
      <c r="B544" s="92"/>
      <c r="C544" s="92"/>
      <c r="D544" s="92"/>
      <c r="E544" s="92"/>
      <c r="F544" s="92"/>
      <c r="G544" s="9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6" x14ac:dyDescent="0.3">
      <c r="A545" s="92"/>
      <c r="B545" s="92"/>
      <c r="C545" s="92"/>
      <c r="D545" s="92"/>
      <c r="E545" s="92"/>
      <c r="F545" s="92"/>
      <c r="G545" s="9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6" x14ac:dyDescent="0.3">
      <c r="A546" s="92"/>
      <c r="B546" s="92"/>
      <c r="C546" s="92"/>
      <c r="D546" s="92"/>
      <c r="E546" s="92"/>
      <c r="F546" s="92"/>
      <c r="G546" s="9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6" x14ac:dyDescent="0.3">
      <c r="A547" s="92"/>
      <c r="B547" s="92"/>
      <c r="C547" s="92"/>
      <c r="D547" s="92"/>
      <c r="E547" s="92"/>
      <c r="F547" s="92"/>
      <c r="G547" s="9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6" x14ac:dyDescent="0.3">
      <c r="A548" s="92"/>
      <c r="B548" s="92"/>
      <c r="C548" s="92"/>
      <c r="D548" s="92"/>
      <c r="E548" s="92"/>
      <c r="F548" s="92"/>
      <c r="G548" s="9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6" x14ac:dyDescent="0.3">
      <c r="A549" s="92"/>
      <c r="B549" s="92"/>
      <c r="C549" s="92"/>
      <c r="D549" s="92"/>
      <c r="E549" s="92"/>
      <c r="F549" s="92"/>
      <c r="G549" s="9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6" x14ac:dyDescent="0.3">
      <c r="A550" s="92"/>
      <c r="B550" s="92"/>
      <c r="C550" s="92"/>
      <c r="D550" s="92"/>
      <c r="E550" s="92"/>
      <c r="F550" s="92"/>
      <c r="G550" s="9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6" x14ac:dyDescent="0.3">
      <c r="A551" s="92"/>
      <c r="B551" s="92"/>
      <c r="C551" s="92"/>
      <c r="D551" s="92"/>
      <c r="E551" s="92"/>
      <c r="F551" s="92"/>
      <c r="G551" s="9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6" x14ac:dyDescent="0.3">
      <c r="A552" s="92"/>
      <c r="B552" s="92"/>
      <c r="C552" s="92"/>
      <c r="D552" s="92"/>
      <c r="E552" s="92"/>
      <c r="F552" s="92"/>
      <c r="G552" s="9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6" x14ac:dyDescent="0.3">
      <c r="A553" s="92"/>
      <c r="B553" s="92"/>
      <c r="C553" s="92"/>
      <c r="D553" s="92"/>
      <c r="E553" s="92"/>
      <c r="F553" s="92"/>
      <c r="G553" s="9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6" x14ac:dyDescent="0.3">
      <c r="A554" s="92"/>
      <c r="B554" s="92"/>
      <c r="C554" s="92"/>
      <c r="D554" s="92"/>
      <c r="E554" s="92"/>
      <c r="F554" s="92"/>
      <c r="G554" s="9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6" x14ac:dyDescent="0.3">
      <c r="A555" s="92"/>
      <c r="B555" s="92"/>
      <c r="C555" s="92"/>
      <c r="D555" s="92"/>
      <c r="E555" s="92"/>
      <c r="F555" s="92"/>
      <c r="G555" s="9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6" x14ac:dyDescent="0.3">
      <c r="A556" s="92"/>
      <c r="B556" s="92"/>
      <c r="C556" s="92"/>
      <c r="D556" s="92"/>
      <c r="E556" s="92"/>
      <c r="F556" s="92"/>
      <c r="G556" s="9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6" x14ac:dyDescent="0.3">
      <c r="A557" s="92"/>
      <c r="B557" s="92"/>
      <c r="C557" s="92"/>
      <c r="D557" s="92"/>
      <c r="E557" s="92"/>
      <c r="F557" s="92"/>
      <c r="G557" s="9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6" x14ac:dyDescent="0.3">
      <c r="A558" s="92"/>
      <c r="B558" s="92"/>
      <c r="C558" s="92"/>
      <c r="D558" s="92"/>
      <c r="E558" s="92"/>
      <c r="F558" s="92"/>
      <c r="G558" s="9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6" x14ac:dyDescent="0.3">
      <c r="A559" s="92"/>
      <c r="B559" s="92"/>
      <c r="C559" s="92"/>
      <c r="D559" s="92"/>
      <c r="E559" s="92"/>
      <c r="F559" s="92"/>
      <c r="G559" s="9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6" x14ac:dyDescent="0.3">
      <c r="A560" s="92"/>
      <c r="B560" s="92"/>
      <c r="C560" s="92"/>
      <c r="D560" s="92"/>
      <c r="E560" s="92"/>
      <c r="F560" s="92"/>
      <c r="G560" s="9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6" x14ac:dyDescent="0.3">
      <c r="A561" s="92"/>
      <c r="B561" s="92"/>
      <c r="C561" s="92"/>
      <c r="D561" s="92"/>
      <c r="E561" s="92"/>
      <c r="F561" s="92"/>
      <c r="G561" s="9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6" x14ac:dyDescent="0.3">
      <c r="A562" s="92"/>
      <c r="B562" s="92"/>
      <c r="C562" s="92"/>
      <c r="D562" s="92"/>
      <c r="E562" s="92"/>
      <c r="F562" s="92"/>
      <c r="G562" s="9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6" x14ac:dyDescent="0.3">
      <c r="A563" s="92"/>
      <c r="B563" s="92"/>
      <c r="C563" s="92"/>
      <c r="D563" s="92"/>
      <c r="E563" s="92"/>
      <c r="F563" s="92"/>
      <c r="G563" s="9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6" x14ac:dyDescent="0.3">
      <c r="A564" s="92"/>
      <c r="B564" s="92"/>
      <c r="C564" s="92"/>
      <c r="D564" s="92"/>
      <c r="E564" s="92"/>
      <c r="F564" s="92"/>
      <c r="G564" s="9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6" x14ac:dyDescent="0.3">
      <c r="A565" s="92"/>
      <c r="B565" s="92"/>
      <c r="C565" s="92"/>
      <c r="D565" s="92"/>
      <c r="E565" s="92"/>
      <c r="F565" s="92"/>
      <c r="G565" s="9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6" x14ac:dyDescent="0.3">
      <c r="A566" s="92"/>
      <c r="B566" s="92"/>
      <c r="C566" s="92"/>
      <c r="D566" s="92"/>
      <c r="E566" s="92"/>
      <c r="F566" s="92"/>
      <c r="G566" s="9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6" x14ac:dyDescent="0.3">
      <c r="A567" s="92"/>
      <c r="B567" s="92"/>
      <c r="C567" s="92"/>
      <c r="D567" s="92"/>
      <c r="E567" s="92"/>
      <c r="F567" s="92"/>
      <c r="G567" s="9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6" x14ac:dyDescent="0.3">
      <c r="A568" s="92"/>
      <c r="B568" s="92"/>
      <c r="C568" s="92"/>
      <c r="D568" s="92"/>
      <c r="E568" s="92"/>
      <c r="F568" s="92"/>
      <c r="G568" s="9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6" x14ac:dyDescent="0.3">
      <c r="A569" s="92"/>
      <c r="B569" s="92"/>
      <c r="C569" s="92"/>
      <c r="D569" s="92"/>
      <c r="E569" s="92"/>
      <c r="F569" s="92"/>
      <c r="G569" s="9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6" x14ac:dyDescent="0.3">
      <c r="A570" s="92"/>
      <c r="B570" s="92"/>
      <c r="C570" s="92"/>
      <c r="D570" s="92"/>
      <c r="E570" s="92"/>
      <c r="F570" s="92"/>
      <c r="G570" s="9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6" x14ac:dyDescent="0.3">
      <c r="A571" s="92"/>
      <c r="B571" s="92"/>
      <c r="C571" s="92"/>
      <c r="D571" s="92"/>
      <c r="E571" s="92"/>
      <c r="F571" s="92"/>
      <c r="G571" s="9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6" x14ac:dyDescent="0.3">
      <c r="A572" s="92"/>
      <c r="B572" s="92"/>
      <c r="C572" s="92"/>
      <c r="D572" s="92"/>
      <c r="E572" s="92"/>
      <c r="F572" s="92"/>
      <c r="G572" s="9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6" x14ac:dyDescent="0.3">
      <c r="A573" s="92"/>
      <c r="B573" s="92"/>
      <c r="C573" s="92"/>
      <c r="D573" s="92"/>
      <c r="E573" s="92"/>
      <c r="F573" s="92"/>
      <c r="G573" s="9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6" x14ac:dyDescent="0.3">
      <c r="A574" s="92"/>
      <c r="B574" s="92"/>
      <c r="C574" s="92"/>
      <c r="D574" s="92"/>
      <c r="E574" s="92"/>
      <c r="F574" s="92"/>
      <c r="G574" s="9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6" x14ac:dyDescent="0.3">
      <c r="A575" s="92"/>
      <c r="B575" s="92"/>
      <c r="C575" s="92"/>
      <c r="D575" s="92"/>
      <c r="E575" s="92"/>
      <c r="F575" s="92"/>
      <c r="G575" s="9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6" x14ac:dyDescent="0.3">
      <c r="A576" s="92"/>
      <c r="B576" s="92"/>
      <c r="C576" s="92"/>
      <c r="D576" s="92"/>
      <c r="E576" s="92"/>
      <c r="F576" s="92"/>
      <c r="G576" s="9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6" x14ac:dyDescent="0.3">
      <c r="A577" s="92"/>
      <c r="B577" s="92"/>
      <c r="C577" s="92"/>
      <c r="D577" s="92"/>
      <c r="E577" s="92"/>
      <c r="F577" s="92"/>
      <c r="G577" s="9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6" x14ac:dyDescent="0.3">
      <c r="A578" s="92"/>
      <c r="B578" s="92"/>
      <c r="C578" s="92"/>
      <c r="D578" s="92"/>
      <c r="E578" s="92"/>
      <c r="F578" s="92"/>
      <c r="G578" s="9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6" x14ac:dyDescent="0.3">
      <c r="A579" s="92"/>
      <c r="B579" s="92"/>
      <c r="C579" s="92"/>
      <c r="D579" s="92"/>
      <c r="E579" s="92"/>
      <c r="F579" s="92"/>
      <c r="G579" s="9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6" x14ac:dyDescent="0.3">
      <c r="A580" s="92"/>
      <c r="B580" s="92"/>
      <c r="C580" s="92"/>
      <c r="D580" s="92"/>
      <c r="E580" s="92"/>
      <c r="F580" s="92"/>
      <c r="G580" s="9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6" x14ac:dyDescent="0.3">
      <c r="A581" s="92"/>
      <c r="B581" s="92"/>
      <c r="C581" s="92"/>
      <c r="D581" s="92"/>
      <c r="E581" s="92"/>
      <c r="F581" s="92"/>
      <c r="G581" s="9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6" x14ac:dyDescent="0.3">
      <c r="A582" s="92"/>
      <c r="B582" s="92"/>
      <c r="C582" s="92"/>
      <c r="D582" s="92"/>
      <c r="E582" s="92"/>
      <c r="F582" s="92"/>
      <c r="G582" s="9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6" x14ac:dyDescent="0.3">
      <c r="A583" s="92"/>
      <c r="B583" s="92"/>
      <c r="C583" s="92"/>
      <c r="D583" s="92"/>
      <c r="E583" s="92"/>
      <c r="F583" s="92"/>
      <c r="G583" s="9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6" x14ac:dyDescent="0.3">
      <c r="A584" s="92"/>
      <c r="B584" s="92"/>
      <c r="C584" s="92"/>
      <c r="D584" s="92"/>
      <c r="E584" s="92"/>
      <c r="F584" s="92"/>
      <c r="G584" s="9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6" x14ac:dyDescent="0.3">
      <c r="A585" s="92"/>
      <c r="B585" s="92"/>
      <c r="C585" s="92"/>
      <c r="D585" s="92"/>
      <c r="E585" s="92"/>
      <c r="F585" s="92"/>
      <c r="G585" s="9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6" x14ac:dyDescent="0.3">
      <c r="A586" s="92"/>
      <c r="B586" s="92"/>
      <c r="C586" s="92"/>
      <c r="D586" s="92"/>
      <c r="E586" s="92"/>
      <c r="F586" s="92"/>
      <c r="G586" s="9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6" x14ac:dyDescent="0.3">
      <c r="A587" s="92"/>
      <c r="B587" s="92"/>
      <c r="C587" s="92"/>
      <c r="D587" s="92"/>
      <c r="E587" s="92"/>
      <c r="F587" s="92"/>
      <c r="G587" s="9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6" x14ac:dyDescent="0.3">
      <c r="A588" s="92"/>
      <c r="B588" s="92"/>
      <c r="C588" s="92"/>
      <c r="D588" s="92"/>
      <c r="E588" s="92"/>
      <c r="F588" s="92"/>
      <c r="G588" s="9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6" x14ac:dyDescent="0.3">
      <c r="A589" s="92"/>
      <c r="B589" s="92"/>
      <c r="C589" s="92"/>
      <c r="D589" s="92"/>
      <c r="E589" s="92"/>
      <c r="F589" s="92"/>
      <c r="G589" s="9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6" x14ac:dyDescent="0.3">
      <c r="A590" s="92"/>
      <c r="B590" s="92"/>
      <c r="C590" s="92"/>
      <c r="D590" s="92"/>
      <c r="E590" s="92"/>
      <c r="F590" s="92"/>
      <c r="G590" s="9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6" x14ac:dyDescent="0.3">
      <c r="A591" s="92"/>
      <c r="B591" s="92"/>
      <c r="C591" s="92"/>
      <c r="D591" s="92"/>
      <c r="E591" s="92"/>
      <c r="F591" s="92"/>
      <c r="G591" s="9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6" x14ac:dyDescent="0.3">
      <c r="A592" s="92"/>
      <c r="B592" s="92"/>
      <c r="C592" s="92"/>
      <c r="D592" s="92"/>
      <c r="E592" s="92"/>
      <c r="F592" s="92"/>
      <c r="G592" s="9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6" x14ac:dyDescent="0.3">
      <c r="A593" s="92"/>
      <c r="B593" s="92"/>
      <c r="C593" s="92"/>
      <c r="D593" s="92"/>
      <c r="E593" s="92"/>
      <c r="F593" s="92"/>
      <c r="G593" s="9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6" x14ac:dyDescent="0.3">
      <c r="A594" s="92"/>
      <c r="B594" s="92"/>
      <c r="C594" s="92"/>
      <c r="D594" s="92"/>
      <c r="E594" s="92"/>
      <c r="F594" s="92"/>
      <c r="G594" s="9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6" x14ac:dyDescent="0.3">
      <c r="A595" s="92"/>
      <c r="B595" s="92"/>
      <c r="C595" s="92"/>
      <c r="D595" s="92"/>
      <c r="E595" s="92"/>
      <c r="F595" s="92"/>
      <c r="G595" s="9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6" x14ac:dyDescent="0.3">
      <c r="A596" s="92"/>
      <c r="B596" s="92"/>
      <c r="C596" s="92"/>
      <c r="D596" s="92"/>
      <c r="E596" s="92"/>
      <c r="F596" s="92"/>
      <c r="G596" s="9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6" x14ac:dyDescent="0.3">
      <c r="A597" s="92"/>
      <c r="B597" s="92"/>
      <c r="C597" s="92"/>
      <c r="D597" s="92"/>
      <c r="E597" s="92"/>
      <c r="F597" s="92"/>
      <c r="G597" s="9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6" x14ac:dyDescent="0.3">
      <c r="A598" s="92"/>
      <c r="B598" s="92"/>
      <c r="C598" s="92"/>
      <c r="D598" s="92"/>
      <c r="E598" s="92"/>
      <c r="F598" s="92"/>
      <c r="G598" s="9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6" x14ac:dyDescent="0.3">
      <c r="A599" s="92"/>
      <c r="B599" s="92"/>
      <c r="C599" s="92"/>
      <c r="D599" s="92"/>
      <c r="E599" s="92"/>
      <c r="F599" s="92"/>
      <c r="G599" s="9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6" x14ac:dyDescent="0.3">
      <c r="A600" s="92"/>
      <c r="B600" s="92"/>
      <c r="C600" s="92"/>
      <c r="D600" s="92"/>
      <c r="E600" s="92"/>
      <c r="F600" s="92"/>
      <c r="G600" s="9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6" x14ac:dyDescent="0.3">
      <c r="A601" s="92"/>
      <c r="B601" s="92"/>
      <c r="C601" s="92"/>
      <c r="D601" s="92"/>
      <c r="E601" s="92"/>
      <c r="F601" s="92"/>
      <c r="G601" s="9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6" x14ac:dyDescent="0.3">
      <c r="A602" s="92"/>
      <c r="B602" s="92"/>
      <c r="C602" s="92"/>
      <c r="D602" s="92"/>
      <c r="E602" s="92"/>
      <c r="F602" s="92"/>
      <c r="G602" s="9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6" x14ac:dyDescent="0.3">
      <c r="A603" s="92"/>
      <c r="B603" s="92"/>
      <c r="C603" s="92"/>
      <c r="D603" s="92"/>
      <c r="E603" s="92"/>
      <c r="F603" s="92"/>
      <c r="G603" s="9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6" x14ac:dyDescent="0.3">
      <c r="A604" s="92"/>
      <c r="B604" s="92"/>
      <c r="C604" s="92"/>
      <c r="D604" s="92"/>
      <c r="E604" s="92"/>
      <c r="F604" s="92"/>
      <c r="G604" s="9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6" x14ac:dyDescent="0.3">
      <c r="A605" s="92"/>
      <c r="B605" s="92"/>
      <c r="C605" s="92"/>
      <c r="D605" s="92"/>
      <c r="E605" s="92"/>
      <c r="F605" s="92"/>
      <c r="G605" s="9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6" x14ac:dyDescent="0.3">
      <c r="A606" s="92"/>
      <c r="B606" s="92"/>
      <c r="C606" s="92"/>
      <c r="D606" s="92"/>
      <c r="E606" s="92"/>
      <c r="F606" s="92"/>
      <c r="G606" s="9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6" x14ac:dyDescent="0.3">
      <c r="A607" s="92"/>
      <c r="B607" s="92"/>
      <c r="C607" s="92"/>
      <c r="D607" s="92"/>
      <c r="E607" s="92"/>
      <c r="F607" s="92"/>
      <c r="G607" s="9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6" x14ac:dyDescent="0.3">
      <c r="A608" s="92"/>
      <c r="B608" s="92"/>
      <c r="C608" s="92"/>
      <c r="D608" s="92"/>
      <c r="E608" s="92"/>
      <c r="F608" s="92"/>
      <c r="G608" s="9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6" x14ac:dyDescent="0.3">
      <c r="A609" s="92"/>
      <c r="B609" s="92"/>
      <c r="C609" s="92"/>
      <c r="D609" s="92"/>
      <c r="E609" s="92"/>
      <c r="F609" s="92"/>
      <c r="G609" s="9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6" x14ac:dyDescent="0.3">
      <c r="A610" s="92"/>
      <c r="B610" s="92"/>
      <c r="C610" s="92"/>
      <c r="D610" s="92"/>
      <c r="E610" s="92"/>
      <c r="F610" s="92"/>
      <c r="G610" s="9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6" x14ac:dyDescent="0.3">
      <c r="A611" s="92"/>
      <c r="B611" s="92"/>
      <c r="C611" s="92"/>
      <c r="D611" s="92"/>
      <c r="E611" s="92"/>
      <c r="F611" s="92"/>
      <c r="G611" s="9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6" x14ac:dyDescent="0.3">
      <c r="A612" s="92"/>
      <c r="B612" s="92"/>
      <c r="C612" s="92"/>
      <c r="D612" s="92"/>
      <c r="E612" s="92"/>
      <c r="F612" s="92"/>
      <c r="G612" s="9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6" x14ac:dyDescent="0.3">
      <c r="A613" s="92"/>
      <c r="B613" s="92"/>
      <c r="C613" s="92"/>
      <c r="D613" s="92"/>
      <c r="E613" s="92"/>
      <c r="F613" s="92"/>
      <c r="G613" s="9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6" x14ac:dyDescent="0.3">
      <c r="A614" s="92"/>
      <c r="B614" s="92"/>
      <c r="C614" s="92"/>
      <c r="D614" s="92"/>
      <c r="E614" s="92"/>
      <c r="F614" s="92"/>
      <c r="G614" s="9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6" x14ac:dyDescent="0.3">
      <c r="A615" s="92"/>
      <c r="B615" s="92"/>
      <c r="C615" s="92"/>
      <c r="D615" s="92"/>
      <c r="E615" s="92"/>
      <c r="F615" s="92"/>
      <c r="G615" s="9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6" x14ac:dyDescent="0.3">
      <c r="A616" s="92"/>
      <c r="B616" s="92"/>
      <c r="C616" s="92"/>
      <c r="D616" s="92"/>
      <c r="E616" s="92"/>
      <c r="F616" s="92"/>
      <c r="G616" s="9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6" x14ac:dyDescent="0.3">
      <c r="A617" s="92"/>
      <c r="B617" s="92"/>
      <c r="C617" s="92"/>
      <c r="D617" s="92"/>
      <c r="E617" s="92"/>
      <c r="F617" s="92"/>
      <c r="G617" s="9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6" x14ac:dyDescent="0.3">
      <c r="A618" s="92"/>
      <c r="B618" s="92"/>
      <c r="C618" s="92"/>
      <c r="D618" s="92"/>
      <c r="E618" s="92"/>
      <c r="F618" s="92"/>
      <c r="G618" s="9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6" x14ac:dyDescent="0.3">
      <c r="A619" s="92"/>
      <c r="B619" s="92"/>
      <c r="C619" s="92"/>
      <c r="D619" s="92"/>
      <c r="E619" s="92"/>
      <c r="F619" s="92"/>
      <c r="G619" s="9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6" x14ac:dyDescent="0.3">
      <c r="A620" s="92"/>
      <c r="B620" s="92"/>
      <c r="C620" s="92"/>
      <c r="D620" s="92"/>
      <c r="E620" s="92"/>
      <c r="F620" s="92"/>
      <c r="G620" s="9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6" x14ac:dyDescent="0.3">
      <c r="A621" s="92"/>
      <c r="B621" s="92"/>
      <c r="C621" s="92"/>
      <c r="D621" s="92"/>
      <c r="E621" s="92"/>
      <c r="F621" s="92"/>
      <c r="G621" s="9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6" x14ac:dyDescent="0.3">
      <c r="A622" s="92"/>
      <c r="B622" s="92"/>
      <c r="C622" s="92"/>
      <c r="D622" s="92"/>
      <c r="E622" s="92"/>
      <c r="F622" s="92"/>
      <c r="G622" s="9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6" x14ac:dyDescent="0.3">
      <c r="A623" s="92"/>
      <c r="B623" s="92"/>
      <c r="C623" s="92"/>
      <c r="D623" s="92"/>
      <c r="E623" s="92"/>
      <c r="F623" s="92"/>
      <c r="G623" s="9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6" x14ac:dyDescent="0.3">
      <c r="A624" s="92"/>
      <c r="B624" s="92"/>
      <c r="C624" s="92"/>
      <c r="D624" s="92"/>
      <c r="E624" s="92"/>
      <c r="F624" s="92"/>
      <c r="G624" s="9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6" x14ac:dyDescent="0.3">
      <c r="A625" s="92"/>
      <c r="B625" s="92"/>
      <c r="C625" s="92"/>
      <c r="D625" s="92"/>
      <c r="E625" s="92"/>
      <c r="F625" s="92"/>
      <c r="G625" s="9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6" x14ac:dyDescent="0.3">
      <c r="A626" s="92"/>
      <c r="B626" s="92"/>
      <c r="C626" s="92"/>
      <c r="D626" s="92"/>
      <c r="E626" s="92"/>
      <c r="F626" s="92"/>
      <c r="G626" s="9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6" x14ac:dyDescent="0.3">
      <c r="A627" s="92"/>
      <c r="B627" s="92"/>
      <c r="C627" s="92"/>
      <c r="D627" s="92"/>
      <c r="E627" s="92"/>
      <c r="F627" s="92"/>
      <c r="G627" s="9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6" x14ac:dyDescent="0.3">
      <c r="A628" s="92"/>
      <c r="B628" s="92"/>
      <c r="C628" s="92"/>
      <c r="D628" s="92"/>
      <c r="E628" s="92"/>
      <c r="F628" s="92"/>
      <c r="G628" s="9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6" x14ac:dyDescent="0.3">
      <c r="A629" s="92"/>
      <c r="B629" s="92"/>
      <c r="C629" s="92"/>
      <c r="D629" s="92"/>
      <c r="E629" s="92"/>
      <c r="F629" s="92"/>
      <c r="G629" s="9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6" x14ac:dyDescent="0.3">
      <c r="A630" s="92"/>
      <c r="B630" s="92"/>
      <c r="C630" s="92"/>
      <c r="D630" s="92"/>
      <c r="E630" s="92"/>
      <c r="F630" s="92"/>
      <c r="G630" s="9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6" x14ac:dyDescent="0.3">
      <c r="A631" s="92"/>
      <c r="B631" s="92"/>
      <c r="C631" s="92"/>
      <c r="D631" s="92"/>
      <c r="E631" s="92"/>
      <c r="F631" s="92"/>
      <c r="G631" s="9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6" x14ac:dyDescent="0.3">
      <c r="A632" s="92"/>
      <c r="B632" s="92"/>
      <c r="C632" s="92"/>
      <c r="D632" s="92"/>
      <c r="E632" s="92"/>
      <c r="F632" s="92"/>
      <c r="G632" s="9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6" x14ac:dyDescent="0.3">
      <c r="A633" s="92"/>
      <c r="B633" s="92"/>
      <c r="C633" s="92"/>
      <c r="D633" s="92"/>
      <c r="E633" s="92"/>
      <c r="F633" s="92"/>
      <c r="G633" s="9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6" x14ac:dyDescent="0.3">
      <c r="A634" s="92"/>
      <c r="B634" s="92"/>
      <c r="C634" s="92"/>
      <c r="D634" s="92"/>
      <c r="E634" s="92"/>
      <c r="F634" s="92"/>
      <c r="G634" s="9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6" x14ac:dyDescent="0.3">
      <c r="A635" s="92"/>
      <c r="B635" s="92"/>
      <c r="C635" s="92"/>
      <c r="D635" s="92"/>
      <c r="E635" s="92"/>
      <c r="F635" s="92"/>
      <c r="G635" s="9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6" x14ac:dyDescent="0.3">
      <c r="A636" s="92"/>
      <c r="B636" s="92"/>
      <c r="C636" s="92"/>
      <c r="D636" s="92"/>
      <c r="E636" s="92"/>
      <c r="F636" s="92"/>
      <c r="G636" s="9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6" x14ac:dyDescent="0.3">
      <c r="A637" s="92"/>
      <c r="B637" s="92"/>
      <c r="C637" s="92"/>
      <c r="D637" s="92"/>
      <c r="E637" s="92"/>
      <c r="F637" s="92"/>
      <c r="G637" s="9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6" x14ac:dyDescent="0.3">
      <c r="A638" s="92"/>
      <c r="B638" s="92"/>
      <c r="C638" s="92"/>
      <c r="D638" s="92"/>
      <c r="E638" s="92"/>
      <c r="F638" s="92"/>
      <c r="G638" s="9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6" x14ac:dyDescent="0.3">
      <c r="A639" s="92"/>
      <c r="B639" s="92"/>
      <c r="C639" s="92"/>
      <c r="D639" s="92"/>
      <c r="E639" s="92"/>
      <c r="F639" s="92"/>
      <c r="G639" s="9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6" x14ac:dyDescent="0.3">
      <c r="A640" s="92"/>
      <c r="B640" s="92"/>
      <c r="C640" s="92"/>
      <c r="D640" s="92"/>
      <c r="E640" s="92"/>
      <c r="F640" s="92"/>
      <c r="G640" s="9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6" x14ac:dyDescent="0.3">
      <c r="A641" s="92"/>
      <c r="B641" s="92"/>
      <c r="C641" s="92"/>
      <c r="D641" s="92"/>
      <c r="E641" s="92"/>
      <c r="F641" s="92"/>
      <c r="G641" s="9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6" x14ac:dyDescent="0.3">
      <c r="A642" s="92"/>
      <c r="B642" s="92"/>
      <c r="C642" s="92"/>
      <c r="D642" s="92"/>
      <c r="E642" s="92"/>
      <c r="F642" s="92"/>
      <c r="G642" s="9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6" x14ac:dyDescent="0.3">
      <c r="A643" s="92"/>
      <c r="B643" s="92"/>
      <c r="C643" s="92"/>
      <c r="D643" s="92"/>
      <c r="E643" s="92"/>
      <c r="F643" s="92"/>
      <c r="G643" s="9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6" x14ac:dyDescent="0.3">
      <c r="A644" s="92"/>
      <c r="B644" s="92"/>
      <c r="C644" s="92"/>
      <c r="D644" s="92"/>
      <c r="E644" s="92"/>
      <c r="F644" s="92"/>
      <c r="G644" s="9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6" x14ac:dyDescent="0.3">
      <c r="A645" s="92"/>
      <c r="B645" s="92"/>
      <c r="C645" s="92"/>
      <c r="D645" s="92"/>
      <c r="E645" s="92"/>
      <c r="F645" s="92"/>
      <c r="G645" s="9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6" x14ac:dyDescent="0.3">
      <c r="A646" s="92"/>
      <c r="B646" s="92"/>
      <c r="C646" s="92"/>
      <c r="D646" s="92"/>
      <c r="E646" s="92"/>
      <c r="F646" s="92"/>
      <c r="G646" s="9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6" x14ac:dyDescent="0.3">
      <c r="A647" s="92"/>
      <c r="B647" s="92"/>
      <c r="C647" s="92"/>
      <c r="D647" s="92"/>
      <c r="E647" s="92"/>
      <c r="F647" s="92"/>
      <c r="G647" s="9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6" x14ac:dyDescent="0.3">
      <c r="A648" s="92"/>
      <c r="B648" s="92"/>
      <c r="C648" s="92"/>
      <c r="D648" s="92"/>
      <c r="E648" s="92"/>
      <c r="F648" s="92"/>
      <c r="G648" s="9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6" x14ac:dyDescent="0.3">
      <c r="A649" s="92"/>
      <c r="B649" s="92"/>
      <c r="C649" s="92"/>
      <c r="D649" s="92"/>
      <c r="E649" s="92"/>
      <c r="F649" s="92"/>
      <c r="G649" s="9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6" x14ac:dyDescent="0.3">
      <c r="A650" s="92"/>
      <c r="B650" s="92"/>
      <c r="C650" s="92"/>
      <c r="D650" s="92"/>
      <c r="E650" s="92"/>
      <c r="F650" s="92"/>
      <c r="G650" s="9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6" x14ac:dyDescent="0.3">
      <c r="A651" s="92"/>
      <c r="B651" s="92"/>
      <c r="C651" s="92"/>
      <c r="D651" s="92"/>
      <c r="E651" s="92"/>
      <c r="F651" s="92"/>
      <c r="G651" s="9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6" x14ac:dyDescent="0.3">
      <c r="A652" s="92"/>
      <c r="B652" s="92"/>
      <c r="C652" s="92"/>
      <c r="D652" s="92"/>
      <c r="E652" s="92"/>
      <c r="F652" s="92"/>
      <c r="G652" s="9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6" x14ac:dyDescent="0.3">
      <c r="A653" s="92"/>
      <c r="B653" s="92"/>
      <c r="C653" s="92"/>
      <c r="D653" s="92"/>
      <c r="E653" s="92"/>
      <c r="F653" s="92"/>
      <c r="G653" s="9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6" x14ac:dyDescent="0.3">
      <c r="A654" s="92"/>
      <c r="B654" s="92"/>
      <c r="C654" s="92"/>
      <c r="D654" s="92"/>
      <c r="E654" s="92"/>
      <c r="F654" s="92"/>
      <c r="G654" s="9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6" x14ac:dyDescent="0.3">
      <c r="A655" s="92"/>
      <c r="B655" s="92"/>
      <c r="C655" s="92"/>
      <c r="D655" s="92"/>
      <c r="E655" s="92"/>
      <c r="F655" s="92"/>
      <c r="G655" s="9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6" x14ac:dyDescent="0.3">
      <c r="A656" s="92"/>
      <c r="B656" s="92"/>
      <c r="C656" s="92"/>
      <c r="D656" s="92"/>
      <c r="E656" s="92"/>
      <c r="F656" s="92"/>
      <c r="G656" s="9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6" x14ac:dyDescent="0.3">
      <c r="A657" s="92"/>
      <c r="B657" s="92"/>
      <c r="C657" s="92"/>
      <c r="D657" s="92"/>
      <c r="E657" s="92"/>
      <c r="F657" s="92"/>
      <c r="G657" s="9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6" x14ac:dyDescent="0.3">
      <c r="A658" s="92"/>
      <c r="B658" s="92"/>
      <c r="C658" s="92"/>
      <c r="D658" s="92"/>
      <c r="E658" s="92"/>
      <c r="F658" s="92"/>
      <c r="G658" s="9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6" x14ac:dyDescent="0.3">
      <c r="A659" s="92"/>
      <c r="B659" s="92"/>
      <c r="C659" s="92"/>
      <c r="D659" s="92"/>
      <c r="E659" s="92"/>
      <c r="F659" s="92"/>
      <c r="G659" s="9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6" x14ac:dyDescent="0.3">
      <c r="A660" s="92"/>
      <c r="B660" s="92"/>
      <c r="C660" s="92"/>
      <c r="D660" s="92"/>
      <c r="E660" s="92"/>
      <c r="F660" s="92"/>
      <c r="G660" s="9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6" x14ac:dyDescent="0.3">
      <c r="A661" s="92"/>
      <c r="B661" s="92"/>
      <c r="C661" s="92"/>
      <c r="D661" s="92"/>
      <c r="E661" s="92"/>
      <c r="F661" s="92"/>
      <c r="G661" s="9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6" x14ac:dyDescent="0.3">
      <c r="A662" s="92"/>
      <c r="B662" s="92"/>
      <c r="C662" s="92"/>
      <c r="D662" s="92"/>
      <c r="E662" s="92"/>
      <c r="F662" s="92"/>
      <c r="G662" s="9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6" x14ac:dyDescent="0.3">
      <c r="A663" s="92"/>
      <c r="B663" s="92"/>
      <c r="C663" s="92"/>
      <c r="D663" s="92"/>
      <c r="E663" s="92"/>
      <c r="F663" s="92"/>
      <c r="G663" s="9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6" x14ac:dyDescent="0.3">
      <c r="A664" s="92"/>
      <c r="B664" s="92"/>
      <c r="C664" s="92"/>
      <c r="D664" s="92"/>
      <c r="E664" s="92"/>
      <c r="F664" s="92"/>
      <c r="G664" s="9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6" x14ac:dyDescent="0.3">
      <c r="A665" s="92"/>
      <c r="B665" s="92"/>
      <c r="C665" s="92"/>
      <c r="D665" s="92"/>
      <c r="E665" s="92"/>
      <c r="F665" s="92"/>
      <c r="G665" s="9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6" x14ac:dyDescent="0.3">
      <c r="A666" s="92"/>
      <c r="B666" s="92"/>
      <c r="C666" s="92"/>
      <c r="D666" s="92"/>
      <c r="E666" s="92"/>
      <c r="F666" s="92"/>
      <c r="G666" s="9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6" x14ac:dyDescent="0.3">
      <c r="A667" s="92"/>
      <c r="B667" s="92"/>
      <c r="C667" s="92"/>
      <c r="D667" s="92"/>
      <c r="E667" s="92"/>
      <c r="F667" s="92"/>
      <c r="G667" s="9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6" x14ac:dyDescent="0.3">
      <c r="A668" s="92"/>
      <c r="B668" s="92"/>
      <c r="C668" s="92"/>
      <c r="D668" s="92"/>
      <c r="E668" s="92"/>
      <c r="F668" s="92"/>
      <c r="G668" s="9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6" x14ac:dyDescent="0.3">
      <c r="A669" s="92"/>
      <c r="B669" s="92"/>
      <c r="C669" s="92"/>
      <c r="D669" s="92"/>
      <c r="E669" s="92"/>
      <c r="F669" s="92"/>
      <c r="G669" s="9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6" x14ac:dyDescent="0.3">
      <c r="A670" s="92"/>
      <c r="B670" s="92"/>
      <c r="C670" s="92"/>
      <c r="D670" s="92"/>
      <c r="E670" s="92"/>
      <c r="F670" s="92"/>
      <c r="G670" s="9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6" x14ac:dyDescent="0.3">
      <c r="A671" s="92"/>
      <c r="B671" s="92"/>
      <c r="C671" s="92"/>
      <c r="D671" s="92"/>
      <c r="E671" s="92"/>
      <c r="F671" s="92"/>
      <c r="G671" s="9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6" x14ac:dyDescent="0.3">
      <c r="A672" s="92"/>
      <c r="B672" s="92"/>
      <c r="C672" s="92"/>
      <c r="D672" s="92"/>
      <c r="E672" s="92"/>
      <c r="F672" s="92"/>
      <c r="G672" s="9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6" x14ac:dyDescent="0.3">
      <c r="A673" s="92"/>
      <c r="B673" s="92"/>
      <c r="C673" s="92"/>
      <c r="D673" s="92"/>
      <c r="E673" s="92"/>
      <c r="F673" s="92"/>
      <c r="G673" s="9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6" x14ac:dyDescent="0.3">
      <c r="A674" s="92"/>
      <c r="B674" s="92"/>
      <c r="C674" s="92"/>
      <c r="D674" s="92"/>
      <c r="E674" s="92"/>
      <c r="F674" s="92"/>
      <c r="G674" s="9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6" x14ac:dyDescent="0.3">
      <c r="A675" s="92"/>
      <c r="B675" s="92"/>
      <c r="C675" s="92"/>
      <c r="D675" s="92"/>
      <c r="E675" s="92"/>
      <c r="F675" s="92"/>
      <c r="G675" s="9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6" x14ac:dyDescent="0.3">
      <c r="A676" s="92"/>
      <c r="B676" s="92"/>
      <c r="C676" s="92"/>
      <c r="D676" s="92"/>
      <c r="E676" s="92"/>
      <c r="F676" s="92"/>
      <c r="G676" s="9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6" x14ac:dyDescent="0.3">
      <c r="A677" s="92"/>
      <c r="B677" s="92"/>
      <c r="C677" s="92"/>
      <c r="D677" s="92"/>
      <c r="E677" s="92"/>
      <c r="F677" s="92"/>
      <c r="G677" s="9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6" x14ac:dyDescent="0.3">
      <c r="A678" s="92"/>
      <c r="B678" s="92"/>
      <c r="C678" s="92"/>
      <c r="D678" s="92"/>
      <c r="E678" s="92"/>
      <c r="F678" s="92"/>
      <c r="G678" s="9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6" x14ac:dyDescent="0.3">
      <c r="A679" s="92"/>
      <c r="B679" s="92"/>
      <c r="C679" s="92"/>
      <c r="D679" s="92"/>
      <c r="E679" s="92"/>
      <c r="F679" s="92"/>
      <c r="G679" s="9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6" x14ac:dyDescent="0.3">
      <c r="A680" s="92"/>
      <c r="B680" s="92"/>
      <c r="C680" s="92"/>
      <c r="D680" s="92"/>
      <c r="E680" s="92"/>
      <c r="F680" s="92"/>
      <c r="G680" s="9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6" x14ac:dyDescent="0.3">
      <c r="A681" s="92"/>
      <c r="B681" s="92"/>
      <c r="C681" s="92"/>
      <c r="D681" s="92"/>
      <c r="E681" s="92"/>
      <c r="F681" s="92"/>
      <c r="G681" s="9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6" x14ac:dyDescent="0.3">
      <c r="A682" s="92"/>
      <c r="B682" s="92"/>
      <c r="C682" s="92"/>
      <c r="D682" s="92"/>
      <c r="E682" s="92"/>
      <c r="F682" s="92"/>
      <c r="G682" s="9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6" x14ac:dyDescent="0.3">
      <c r="A683" s="92"/>
      <c r="B683" s="92"/>
      <c r="C683" s="92"/>
      <c r="D683" s="92"/>
      <c r="E683" s="92"/>
      <c r="F683" s="92"/>
      <c r="G683" s="9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6" x14ac:dyDescent="0.3">
      <c r="A684" s="92"/>
      <c r="B684" s="92"/>
      <c r="C684" s="92"/>
      <c r="D684" s="92"/>
      <c r="E684" s="92"/>
      <c r="F684" s="92"/>
      <c r="G684" s="9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6" x14ac:dyDescent="0.3">
      <c r="A685" s="92"/>
      <c r="B685" s="92"/>
      <c r="C685" s="92"/>
      <c r="D685" s="92"/>
      <c r="E685" s="92"/>
      <c r="F685" s="92"/>
      <c r="G685" s="9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6" x14ac:dyDescent="0.3">
      <c r="A686" s="92"/>
      <c r="B686" s="92"/>
      <c r="C686" s="92"/>
      <c r="D686" s="92"/>
      <c r="E686" s="92"/>
      <c r="F686" s="92"/>
      <c r="G686" s="9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6" x14ac:dyDescent="0.3">
      <c r="A687" s="92"/>
      <c r="B687" s="92"/>
      <c r="C687" s="92"/>
      <c r="D687" s="92"/>
      <c r="E687" s="92"/>
      <c r="F687" s="92"/>
      <c r="G687" s="9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6" x14ac:dyDescent="0.3">
      <c r="A688" s="92"/>
      <c r="B688" s="92"/>
      <c r="C688" s="92"/>
      <c r="D688" s="92"/>
      <c r="E688" s="92"/>
      <c r="F688" s="92"/>
      <c r="G688" s="9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6" x14ac:dyDescent="0.3">
      <c r="A689" s="92"/>
      <c r="B689" s="92"/>
      <c r="C689" s="92"/>
      <c r="D689" s="92"/>
      <c r="E689" s="92"/>
      <c r="F689" s="92"/>
      <c r="G689" s="9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6" x14ac:dyDescent="0.3">
      <c r="A690" s="92"/>
      <c r="B690" s="92"/>
      <c r="C690" s="92"/>
      <c r="D690" s="92"/>
      <c r="E690" s="92"/>
      <c r="F690" s="92"/>
      <c r="G690" s="9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6" x14ac:dyDescent="0.3">
      <c r="A691" s="92"/>
      <c r="B691" s="92"/>
      <c r="C691" s="92"/>
      <c r="D691" s="92"/>
      <c r="E691" s="92"/>
      <c r="F691" s="92"/>
      <c r="G691" s="9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6" x14ac:dyDescent="0.3">
      <c r="A692" s="92"/>
      <c r="B692" s="92"/>
      <c r="C692" s="92"/>
      <c r="D692" s="92"/>
      <c r="E692" s="92"/>
      <c r="F692" s="92"/>
      <c r="G692" s="9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6" x14ac:dyDescent="0.3">
      <c r="A693" s="92"/>
      <c r="B693" s="92"/>
      <c r="C693" s="92"/>
      <c r="D693" s="92"/>
      <c r="E693" s="92"/>
      <c r="F693" s="92"/>
      <c r="G693" s="9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6" x14ac:dyDescent="0.3">
      <c r="A694" s="92"/>
      <c r="B694" s="92"/>
      <c r="C694" s="92"/>
      <c r="D694" s="92"/>
      <c r="E694" s="92"/>
      <c r="F694" s="92"/>
      <c r="G694" s="9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6" x14ac:dyDescent="0.3">
      <c r="A695" s="92"/>
      <c r="B695" s="92"/>
      <c r="C695" s="92"/>
      <c r="D695" s="92"/>
      <c r="E695" s="92"/>
      <c r="F695" s="92"/>
      <c r="G695" s="9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6" x14ac:dyDescent="0.3">
      <c r="A696" s="92"/>
      <c r="B696" s="92"/>
      <c r="C696" s="92"/>
      <c r="D696" s="92"/>
      <c r="E696" s="92"/>
      <c r="F696" s="92"/>
      <c r="G696" s="9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6" x14ac:dyDescent="0.3">
      <c r="A697" s="92"/>
      <c r="B697" s="92"/>
      <c r="C697" s="92"/>
      <c r="D697" s="92"/>
      <c r="E697" s="92"/>
      <c r="F697" s="92"/>
      <c r="G697" s="9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6" x14ac:dyDescent="0.3">
      <c r="A698" s="92"/>
      <c r="B698" s="92"/>
      <c r="C698" s="92"/>
      <c r="D698" s="92"/>
      <c r="E698" s="92"/>
      <c r="F698" s="92"/>
      <c r="G698" s="9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6" x14ac:dyDescent="0.3">
      <c r="A699" s="92"/>
      <c r="B699" s="92"/>
      <c r="C699" s="92"/>
      <c r="D699" s="92"/>
      <c r="E699" s="92"/>
      <c r="F699" s="92"/>
      <c r="G699" s="9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6" x14ac:dyDescent="0.3">
      <c r="A700" s="92"/>
      <c r="B700" s="92"/>
      <c r="C700" s="92"/>
      <c r="D700" s="92"/>
      <c r="E700" s="92"/>
      <c r="F700" s="92"/>
      <c r="G700" s="9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6" x14ac:dyDescent="0.3">
      <c r="A701" s="92"/>
      <c r="B701" s="92"/>
      <c r="C701" s="92"/>
      <c r="D701" s="92"/>
      <c r="E701" s="92"/>
      <c r="F701" s="92"/>
      <c r="G701" s="9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6" x14ac:dyDescent="0.3">
      <c r="A702" s="92"/>
      <c r="B702" s="92"/>
      <c r="C702" s="92"/>
      <c r="D702" s="92"/>
      <c r="E702" s="92"/>
      <c r="F702" s="92"/>
      <c r="G702" s="9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6" x14ac:dyDescent="0.3">
      <c r="A703" s="92"/>
      <c r="B703" s="92"/>
      <c r="C703" s="92"/>
      <c r="D703" s="92"/>
      <c r="E703" s="92"/>
      <c r="F703" s="92"/>
      <c r="G703" s="9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6" x14ac:dyDescent="0.3">
      <c r="A704" s="92"/>
      <c r="B704" s="92"/>
      <c r="C704" s="92"/>
      <c r="D704" s="92"/>
      <c r="E704" s="92"/>
      <c r="F704" s="92"/>
      <c r="G704" s="9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6" x14ac:dyDescent="0.3">
      <c r="A705" s="92"/>
      <c r="B705" s="92"/>
      <c r="C705" s="92"/>
      <c r="D705" s="92"/>
      <c r="E705" s="92"/>
      <c r="F705" s="92"/>
      <c r="G705" s="9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6" x14ac:dyDescent="0.3">
      <c r="A706" s="92"/>
      <c r="B706" s="92"/>
      <c r="C706" s="92"/>
      <c r="D706" s="92"/>
      <c r="E706" s="92"/>
      <c r="F706" s="92"/>
      <c r="G706" s="9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6" x14ac:dyDescent="0.3">
      <c r="A707" s="92"/>
      <c r="B707" s="92"/>
      <c r="C707" s="92"/>
      <c r="D707" s="92"/>
      <c r="E707" s="92"/>
      <c r="F707" s="92"/>
      <c r="G707" s="9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6" x14ac:dyDescent="0.3">
      <c r="A708" s="92"/>
      <c r="B708" s="92"/>
      <c r="C708" s="92"/>
      <c r="D708" s="92"/>
      <c r="E708" s="92"/>
      <c r="F708" s="92"/>
      <c r="G708" s="9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6" x14ac:dyDescent="0.3">
      <c r="A709" s="92"/>
      <c r="B709" s="92"/>
      <c r="C709" s="92"/>
      <c r="D709" s="92"/>
      <c r="E709" s="92"/>
      <c r="F709" s="92"/>
      <c r="G709" s="9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6" x14ac:dyDescent="0.3">
      <c r="A710" s="92"/>
      <c r="B710" s="92"/>
      <c r="C710" s="92"/>
      <c r="D710" s="92"/>
      <c r="E710" s="92"/>
      <c r="F710" s="92"/>
      <c r="G710" s="9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6" x14ac:dyDescent="0.3">
      <c r="A711" s="92"/>
      <c r="B711" s="92"/>
      <c r="C711" s="92"/>
      <c r="D711" s="92"/>
      <c r="E711" s="92"/>
      <c r="F711" s="92"/>
      <c r="G711" s="9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6" x14ac:dyDescent="0.3">
      <c r="A712" s="92"/>
      <c r="B712" s="92"/>
      <c r="C712" s="92"/>
      <c r="D712" s="92"/>
      <c r="E712" s="92"/>
      <c r="F712" s="92"/>
      <c r="G712" s="9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6" x14ac:dyDescent="0.3">
      <c r="A713" s="92"/>
      <c r="B713" s="92"/>
      <c r="C713" s="92"/>
      <c r="D713" s="92"/>
      <c r="E713" s="92"/>
      <c r="F713" s="92"/>
      <c r="G713" s="9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6" x14ac:dyDescent="0.3">
      <c r="A714" s="92"/>
      <c r="B714" s="92"/>
      <c r="C714" s="92"/>
      <c r="D714" s="92"/>
      <c r="E714" s="92"/>
      <c r="F714" s="92"/>
      <c r="G714" s="9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6" x14ac:dyDescent="0.3">
      <c r="A715" s="92"/>
      <c r="B715" s="92"/>
      <c r="C715" s="92"/>
      <c r="D715" s="92"/>
      <c r="E715" s="92"/>
      <c r="F715" s="92"/>
      <c r="G715" s="9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6" x14ac:dyDescent="0.3">
      <c r="A716" s="92"/>
      <c r="B716" s="92"/>
      <c r="C716" s="92"/>
      <c r="D716" s="92"/>
      <c r="E716" s="92"/>
      <c r="F716" s="92"/>
      <c r="G716" s="9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6" x14ac:dyDescent="0.3">
      <c r="A717" s="92"/>
      <c r="B717" s="92"/>
      <c r="C717" s="92"/>
      <c r="D717" s="92"/>
      <c r="E717" s="92"/>
      <c r="F717" s="92"/>
      <c r="G717" s="9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6" x14ac:dyDescent="0.3">
      <c r="A718" s="92"/>
      <c r="B718" s="92"/>
      <c r="C718" s="92"/>
      <c r="D718" s="92"/>
      <c r="E718" s="92"/>
      <c r="F718" s="92"/>
      <c r="G718" s="9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6" x14ac:dyDescent="0.3">
      <c r="A719" s="92"/>
      <c r="B719" s="92"/>
      <c r="C719" s="92"/>
      <c r="D719" s="92"/>
      <c r="E719" s="92"/>
      <c r="F719" s="92"/>
      <c r="G719" s="9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6" x14ac:dyDescent="0.3">
      <c r="A720" s="92"/>
      <c r="B720" s="92"/>
      <c r="C720" s="92"/>
      <c r="D720" s="92"/>
      <c r="E720" s="92"/>
      <c r="F720" s="92"/>
      <c r="G720" s="9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6" x14ac:dyDescent="0.3">
      <c r="A721" s="92"/>
      <c r="B721" s="92"/>
      <c r="C721" s="92"/>
      <c r="D721" s="92"/>
      <c r="E721" s="92"/>
      <c r="F721" s="92"/>
      <c r="G721" s="9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6" x14ac:dyDescent="0.3">
      <c r="A722" s="92"/>
      <c r="B722" s="92"/>
      <c r="C722" s="92"/>
      <c r="D722" s="92"/>
      <c r="E722" s="92"/>
      <c r="F722" s="92"/>
      <c r="G722" s="9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6" x14ac:dyDescent="0.3">
      <c r="A723" s="92"/>
      <c r="B723" s="92"/>
      <c r="C723" s="92"/>
      <c r="D723" s="92"/>
      <c r="E723" s="92"/>
      <c r="F723" s="92"/>
      <c r="G723" s="9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6" x14ac:dyDescent="0.3">
      <c r="A724" s="92"/>
      <c r="B724" s="92"/>
      <c r="C724" s="92"/>
      <c r="D724" s="92"/>
      <c r="E724" s="92"/>
      <c r="F724" s="92"/>
      <c r="G724" s="9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6" x14ac:dyDescent="0.3">
      <c r="A725" s="92"/>
      <c r="B725" s="92"/>
      <c r="C725" s="92"/>
      <c r="D725" s="92"/>
      <c r="E725" s="92"/>
      <c r="F725" s="92"/>
      <c r="G725" s="9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6" x14ac:dyDescent="0.3">
      <c r="A726" s="92"/>
      <c r="B726" s="92"/>
      <c r="C726" s="92"/>
      <c r="D726" s="92"/>
      <c r="E726" s="92"/>
      <c r="F726" s="92"/>
      <c r="G726" s="9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6" x14ac:dyDescent="0.3">
      <c r="A727" s="92"/>
      <c r="B727" s="92"/>
      <c r="C727" s="92"/>
      <c r="D727" s="92"/>
      <c r="E727" s="92"/>
      <c r="F727" s="92"/>
      <c r="G727" s="9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6" x14ac:dyDescent="0.3">
      <c r="A728" s="92"/>
      <c r="B728" s="92"/>
      <c r="C728" s="92"/>
      <c r="D728" s="92"/>
      <c r="E728" s="92"/>
      <c r="F728" s="92"/>
      <c r="G728" s="9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6" x14ac:dyDescent="0.3">
      <c r="A729" s="92"/>
      <c r="B729" s="92"/>
      <c r="C729" s="92"/>
      <c r="D729" s="92"/>
      <c r="E729" s="92"/>
      <c r="F729" s="92"/>
      <c r="G729" s="9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6" x14ac:dyDescent="0.3">
      <c r="A730" s="92"/>
      <c r="B730" s="92"/>
      <c r="C730" s="92"/>
      <c r="D730" s="92"/>
      <c r="E730" s="92"/>
      <c r="F730" s="92"/>
      <c r="G730" s="9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6" x14ac:dyDescent="0.3">
      <c r="A731" s="92"/>
      <c r="B731" s="92"/>
      <c r="C731" s="92"/>
      <c r="D731" s="92"/>
      <c r="E731" s="92"/>
      <c r="F731" s="92"/>
      <c r="G731" s="9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6" x14ac:dyDescent="0.3">
      <c r="A732" s="92"/>
      <c r="B732" s="92"/>
      <c r="C732" s="92"/>
      <c r="D732" s="92"/>
      <c r="E732" s="92"/>
      <c r="F732" s="92"/>
      <c r="G732" s="9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6" x14ac:dyDescent="0.3">
      <c r="A733" s="92"/>
      <c r="B733" s="92"/>
      <c r="C733" s="92"/>
      <c r="D733" s="92"/>
      <c r="E733" s="92"/>
      <c r="F733" s="92"/>
      <c r="G733" s="9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6" x14ac:dyDescent="0.3">
      <c r="A734" s="92"/>
      <c r="B734" s="92"/>
      <c r="C734" s="92"/>
      <c r="D734" s="92"/>
      <c r="E734" s="92"/>
      <c r="F734" s="92"/>
      <c r="G734" s="9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6" x14ac:dyDescent="0.3">
      <c r="A735" s="92"/>
      <c r="B735" s="92"/>
      <c r="C735" s="92"/>
      <c r="D735" s="92"/>
      <c r="E735" s="92"/>
      <c r="F735" s="92"/>
      <c r="G735" s="9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6" x14ac:dyDescent="0.3">
      <c r="A736" s="92"/>
      <c r="B736" s="92"/>
      <c r="C736" s="92"/>
      <c r="D736" s="92"/>
      <c r="E736" s="92"/>
      <c r="F736" s="92"/>
      <c r="G736" s="9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6" x14ac:dyDescent="0.3">
      <c r="A737" s="92"/>
      <c r="B737" s="92"/>
      <c r="C737" s="92"/>
      <c r="D737" s="92"/>
      <c r="E737" s="92"/>
      <c r="F737" s="92"/>
      <c r="G737" s="9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6" x14ac:dyDescent="0.3">
      <c r="A738" s="92"/>
      <c r="B738" s="92"/>
      <c r="C738" s="92"/>
      <c r="D738" s="92"/>
      <c r="E738" s="92"/>
      <c r="F738" s="92"/>
      <c r="G738" s="9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6" x14ac:dyDescent="0.3">
      <c r="A739" s="92"/>
      <c r="B739" s="92"/>
      <c r="C739" s="92"/>
      <c r="D739" s="92"/>
      <c r="E739" s="92"/>
      <c r="F739" s="92"/>
      <c r="G739" s="9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6" x14ac:dyDescent="0.3">
      <c r="A740" s="92"/>
      <c r="B740" s="92"/>
      <c r="C740" s="92"/>
      <c r="D740" s="92"/>
      <c r="E740" s="92"/>
      <c r="F740" s="92"/>
      <c r="G740" s="9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6" x14ac:dyDescent="0.3">
      <c r="A741" s="92"/>
      <c r="B741" s="92"/>
      <c r="C741" s="92"/>
      <c r="D741" s="92"/>
      <c r="E741" s="92"/>
      <c r="F741" s="92"/>
      <c r="G741" s="9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6" x14ac:dyDescent="0.3">
      <c r="A742" s="92"/>
      <c r="B742" s="92"/>
      <c r="C742" s="92"/>
      <c r="D742" s="92"/>
      <c r="E742" s="92"/>
      <c r="F742" s="92"/>
      <c r="G742" s="9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6" x14ac:dyDescent="0.3">
      <c r="A743" s="92"/>
      <c r="B743" s="92"/>
      <c r="C743" s="92"/>
      <c r="D743" s="92"/>
      <c r="E743" s="92"/>
      <c r="F743" s="92"/>
      <c r="G743" s="9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6" x14ac:dyDescent="0.3">
      <c r="A744" s="92"/>
      <c r="B744" s="92"/>
      <c r="C744" s="92"/>
      <c r="D744" s="92"/>
      <c r="E744" s="92"/>
      <c r="F744" s="92"/>
      <c r="G744" s="9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6" x14ac:dyDescent="0.3">
      <c r="A745" s="92"/>
      <c r="B745" s="92"/>
      <c r="C745" s="92"/>
      <c r="D745" s="92"/>
      <c r="E745" s="92"/>
      <c r="F745" s="92"/>
      <c r="G745" s="9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6" x14ac:dyDescent="0.3">
      <c r="A746" s="92"/>
      <c r="B746" s="92"/>
      <c r="C746" s="92"/>
      <c r="D746" s="92"/>
      <c r="E746" s="92"/>
      <c r="F746" s="92"/>
      <c r="G746" s="9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6" x14ac:dyDescent="0.3">
      <c r="A747" s="92"/>
      <c r="B747" s="92"/>
      <c r="C747" s="92"/>
      <c r="D747" s="92"/>
      <c r="E747" s="92"/>
      <c r="F747" s="92"/>
      <c r="G747" s="9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6" x14ac:dyDescent="0.3">
      <c r="A748" s="92"/>
      <c r="B748" s="92"/>
      <c r="C748" s="92"/>
      <c r="D748" s="92"/>
      <c r="E748" s="92"/>
      <c r="F748" s="92"/>
      <c r="G748" s="9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6" x14ac:dyDescent="0.3">
      <c r="A749" s="92"/>
      <c r="B749" s="92"/>
      <c r="C749" s="92"/>
      <c r="D749" s="92"/>
      <c r="E749" s="92"/>
      <c r="F749" s="92"/>
      <c r="G749" s="9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6" x14ac:dyDescent="0.3">
      <c r="A750" s="92"/>
      <c r="B750" s="92"/>
      <c r="C750" s="92"/>
      <c r="D750" s="92"/>
      <c r="E750" s="92"/>
      <c r="F750" s="92"/>
      <c r="G750" s="9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6" x14ac:dyDescent="0.3">
      <c r="A751" s="92"/>
      <c r="B751" s="92"/>
      <c r="C751" s="92"/>
      <c r="D751" s="92"/>
      <c r="E751" s="92"/>
      <c r="F751" s="92"/>
      <c r="G751" s="9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6" x14ac:dyDescent="0.3">
      <c r="A752" s="92"/>
      <c r="B752" s="92"/>
      <c r="C752" s="92"/>
      <c r="D752" s="92"/>
      <c r="E752" s="92"/>
      <c r="F752" s="92"/>
      <c r="G752" s="9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6" x14ac:dyDescent="0.3">
      <c r="A753" s="92"/>
      <c r="B753" s="92"/>
      <c r="C753" s="92"/>
      <c r="D753" s="92"/>
      <c r="E753" s="92"/>
      <c r="F753" s="92"/>
      <c r="G753" s="9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6" x14ac:dyDescent="0.3">
      <c r="A754" s="92"/>
      <c r="B754" s="92"/>
      <c r="C754" s="92"/>
      <c r="D754" s="92"/>
      <c r="E754" s="92"/>
      <c r="F754" s="92"/>
      <c r="G754" s="9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6" x14ac:dyDescent="0.3">
      <c r="A755" s="92"/>
      <c r="B755" s="92"/>
      <c r="C755" s="92"/>
      <c r="D755" s="92"/>
      <c r="E755" s="92"/>
      <c r="F755" s="92"/>
      <c r="G755" s="9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6" x14ac:dyDescent="0.3">
      <c r="A756" s="92"/>
      <c r="B756" s="92"/>
      <c r="C756" s="92"/>
      <c r="D756" s="92"/>
      <c r="E756" s="92"/>
      <c r="F756" s="92"/>
      <c r="G756" s="9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6" x14ac:dyDescent="0.3">
      <c r="A757" s="92"/>
      <c r="B757" s="92"/>
      <c r="C757" s="92"/>
      <c r="D757" s="92"/>
      <c r="E757" s="92"/>
      <c r="F757" s="92"/>
      <c r="G757" s="9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6" x14ac:dyDescent="0.3">
      <c r="A758" s="92"/>
      <c r="B758" s="92"/>
      <c r="C758" s="92"/>
      <c r="D758" s="92"/>
      <c r="E758" s="92"/>
      <c r="F758" s="92"/>
      <c r="G758" s="9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6" x14ac:dyDescent="0.3">
      <c r="A759" s="92"/>
      <c r="B759" s="92"/>
      <c r="C759" s="92"/>
      <c r="D759" s="92"/>
      <c r="E759" s="92"/>
      <c r="F759" s="92"/>
      <c r="G759" s="9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6" x14ac:dyDescent="0.3">
      <c r="A760" s="92"/>
      <c r="B760" s="92"/>
      <c r="C760" s="92"/>
      <c r="D760" s="92"/>
      <c r="E760" s="92"/>
      <c r="F760" s="92"/>
      <c r="G760" s="9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6" x14ac:dyDescent="0.3">
      <c r="A761" s="92"/>
      <c r="B761" s="92"/>
      <c r="C761" s="92"/>
      <c r="D761" s="92"/>
      <c r="E761" s="92"/>
      <c r="F761" s="92"/>
      <c r="G761" s="9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6" x14ac:dyDescent="0.3">
      <c r="A762" s="92"/>
      <c r="B762" s="92"/>
      <c r="C762" s="92"/>
      <c r="D762" s="92"/>
      <c r="E762" s="92"/>
      <c r="F762" s="92"/>
      <c r="G762" s="9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6" x14ac:dyDescent="0.3">
      <c r="A763" s="92"/>
      <c r="B763" s="92"/>
      <c r="C763" s="92"/>
      <c r="D763" s="92"/>
      <c r="E763" s="92"/>
      <c r="F763" s="92"/>
      <c r="G763" s="9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6" x14ac:dyDescent="0.3">
      <c r="A764" s="92"/>
      <c r="B764" s="92"/>
      <c r="C764" s="92"/>
      <c r="D764" s="92"/>
      <c r="E764" s="92"/>
      <c r="F764" s="92"/>
      <c r="G764" s="9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6" x14ac:dyDescent="0.3">
      <c r="A765" s="92"/>
      <c r="B765" s="92"/>
      <c r="C765" s="92"/>
      <c r="D765" s="92"/>
      <c r="E765" s="92"/>
      <c r="F765" s="92"/>
      <c r="G765" s="9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6" x14ac:dyDescent="0.3">
      <c r="A766" s="92"/>
      <c r="B766" s="92"/>
      <c r="C766" s="92"/>
      <c r="D766" s="92"/>
      <c r="E766" s="92"/>
      <c r="F766" s="92"/>
      <c r="G766" s="9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6" x14ac:dyDescent="0.3">
      <c r="A767" s="92"/>
      <c r="B767" s="92"/>
      <c r="C767" s="92"/>
      <c r="D767" s="92"/>
      <c r="E767" s="92"/>
      <c r="F767" s="92"/>
      <c r="G767" s="9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6" x14ac:dyDescent="0.3">
      <c r="A768" s="92"/>
      <c r="B768" s="92"/>
      <c r="C768" s="92"/>
      <c r="D768" s="92"/>
      <c r="E768" s="92"/>
      <c r="F768" s="92"/>
      <c r="G768" s="9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6" x14ac:dyDescent="0.3">
      <c r="A769" s="92"/>
      <c r="B769" s="92"/>
      <c r="C769" s="92"/>
      <c r="D769" s="92"/>
      <c r="E769" s="92"/>
      <c r="F769" s="92"/>
      <c r="G769" s="9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6" x14ac:dyDescent="0.3">
      <c r="A770" s="92"/>
      <c r="B770" s="92"/>
      <c r="C770" s="92"/>
      <c r="D770" s="92"/>
      <c r="E770" s="92"/>
      <c r="F770" s="92"/>
      <c r="G770" s="9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6" x14ac:dyDescent="0.3">
      <c r="A771" s="92"/>
      <c r="B771" s="92"/>
      <c r="C771" s="92"/>
      <c r="D771" s="92"/>
      <c r="E771" s="92"/>
      <c r="F771" s="92"/>
      <c r="G771" s="9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6" x14ac:dyDescent="0.3">
      <c r="A772" s="92"/>
      <c r="B772" s="92"/>
      <c r="C772" s="92"/>
      <c r="D772" s="92"/>
      <c r="E772" s="92"/>
      <c r="F772" s="92"/>
      <c r="G772" s="9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6" x14ac:dyDescent="0.3">
      <c r="A773" s="92"/>
      <c r="B773" s="92"/>
      <c r="C773" s="92"/>
      <c r="D773" s="92"/>
      <c r="E773" s="92"/>
      <c r="F773" s="92"/>
      <c r="G773" s="9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6" x14ac:dyDescent="0.3">
      <c r="A774" s="92"/>
      <c r="B774" s="92"/>
      <c r="C774" s="92"/>
      <c r="D774" s="92"/>
      <c r="E774" s="92"/>
      <c r="F774" s="92"/>
      <c r="G774" s="9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6" x14ac:dyDescent="0.3">
      <c r="A775" s="92"/>
      <c r="B775" s="92"/>
      <c r="C775" s="92"/>
      <c r="D775" s="92"/>
      <c r="E775" s="92"/>
      <c r="F775" s="92"/>
      <c r="G775" s="9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6" x14ac:dyDescent="0.3">
      <c r="A776" s="92"/>
      <c r="B776" s="92"/>
      <c r="C776" s="92"/>
      <c r="D776" s="92"/>
      <c r="E776" s="92"/>
      <c r="F776" s="92"/>
      <c r="G776" s="9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6" x14ac:dyDescent="0.3">
      <c r="A777" s="92"/>
      <c r="B777" s="92"/>
      <c r="C777" s="92"/>
      <c r="D777" s="92"/>
      <c r="E777" s="92"/>
      <c r="F777" s="92"/>
      <c r="G777" s="9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6" x14ac:dyDescent="0.3">
      <c r="A778" s="92"/>
      <c r="B778" s="92"/>
      <c r="C778" s="92"/>
      <c r="D778" s="92"/>
      <c r="E778" s="92"/>
      <c r="F778" s="92"/>
      <c r="G778" s="9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6" x14ac:dyDescent="0.3">
      <c r="A779" s="92"/>
      <c r="B779" s="92"/>
      <c r="C779" s="92"/>
      <c r="D779" s="92"/>
      <c r="E779" s="92"/>
      <c r="F779" s="92"/>
      <c r="G779" s="9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6" x14ac:dyDescent="0.3">
      <c r="A780" s="92"/>
      <c r="B780" s="92"/>
      <c r="C780" s="92"/>
      <c r="D780" s="92"/>
      <c r="E780" s="92"/>
      <c r="F780" s="92"/>
      <c r="G780" s="9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6" x14ac:dyDescent="0.3">
      <c r="A781" s="92"/>
      <c r="B781" s="92"/>
      <c r="C781" s="92"/>
      <c r="D781" s="92"/>
      <c r="E781" s="92"/>
      <c r="F781" s="92"/>
      <c r="G781" s="9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6" x14ac:dyDescent="0.3">
      <c r="A782" s="92"/>
      <c r="B782" s="92"/>
      <c r="C782" s="92"/>
      <c r="D782" s="92"/>
      <c r="E782" s="92"/>
      <c r="F782" s="92"/>
      <c r="G782" s="9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6" x14ac:dyDescent="0.3">
      <c r="A783" s="92"/>
      <c r="B783" s="92"/>
      <c r="C783" s="92"/>
      <c r="D783" s="92"/>
      <c r="E783" s="92"/>
      <c r="F783" s="92"/>
      <c r="G783" s="9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6" x14ac:dyDescent="0.3">
      <c r="A784" s="92"/>
      <c r="B784" s="92"/>
      <c r="C784" s="92"/>
      <c r="D784" s="92"/>
      <c r="E784" s="92"/>
      <c r="F784" s="92"/>
      <c r="G784" s="9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6" x14ac:dyDescent="0.3">
      <c r="A785" s="92"/>
      <c r="B785" s="92"/>
      <c r="C785" s="92"/>
      <c r="D785" s="92"/>
      <c r="E785" s="92"/>
      <c r="F785" s="92"/>
      <c r="G785" s="9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6" x14ac:dyDescent="0.3">
      <c r="A786" s="92"/>
      <c r="B786" s="92"/>
      <c r="C786" s="92"/>
      <c r="D786" s="92"/>
      <c r="E786" s="92"/>
      <c r="F786" s="92"/>
      <c r="G786" s="9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6" x14ac:dyDescent="0.3">
      <c r="A787" s="92"/>
      <c r="B787" s="92"/>
      <c r="C787" s="92"/>
      <c r="D787" s="92"/>
      <c r="E787" s="92"/>
      <c r="F787" s="92"/>
      <c r="G787" s="9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6" x14ac:dyDescent="0.3">
      <c r="A788" s="92"/>
      <c r="B788" s="92"/>
      <c r="C788" s="92"/>
      <c r="D788" s="92"/>
      <c r="E788" s="92"/>
      <c r="F788" s="92"/>
      <c r="G788" s="9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6" x14ac:dyDescent="0.3">
      <c r="A789" s="92"/>
      <c r="B789" s="92"/>
      <c r="C789" s="92"/>
      <c r="D789" s="92"/>
      <c r="E789" s="92"/>
      <c r="F789" s="92"/>
      <c r="G789" s="9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6" x14ac:dyDescent="0.3">
      <c r="A790" s="92"/>
      <c r="B790" s="92"/>
      <c r="C790" s="92"/>
      <c r="D790" s="92"/>
      <c r="E790" s="92"/>
      <c r="F790" s="92"/>
      <c r="G790" s="9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6" x14ac:dyDescent="0.3">
      <c r="A791" s="92"/>
      <c r="B791" s="92"/>
      <c r="C791" s="92"/>
      <c r="D791" s="92"/>
      <c r="E791" s="92"/>
      <c r="F791" s="92"/>
      <c r="G791" s="9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6" x14ac:dyDescent="0.3">
      <c r="A792" s="92"/>
      <c r="B792" s="92"/>
      <c r="C792" s="92"/>
      <c r="D792" s="92"/>
      <c r="E792" s="92"/>
      <c r="F792" s="92"/>
      <c r="G792" s="9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6" x14ac:dyDescent="0.3">
      <c r="A793" s="92"/>
      <c r="B793" s="92"/>
      <c r="C793" s="92"/>
      <c r="D793" s="92"/>
      <c r="E793" s="92"/>
      <c r="F793" s="92"/>
      <c r="G793" s="9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6" x14ac:dyDescent="0.3">
      <c r="A794" s="92"/>
      <c r="B794" s="92"/>
      <c r="C794" s="92"/>
      <c r="D794" s="92"/>
      <c r="E794" s="92"/>
      <c r="F794" s="92"/>
      <c r="G794" s="9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6" x14ac:dyDescent="0.3">
      <c r="A795" s="92"/>
      <c r="B795" s="92"/>
      <c r="C795" s="92"/>
      <c r="D795" s="92"/>
      <c r="E795" s="92"/>
      <c r="F795" s="92"/>
      <c r="G795" s="9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6" x14ac:dyDescent="0.3">
      <c r="A796" s="92"/>
      <c r="B796" s="92"/>
      <c r="C796" s="92"/>
      <c r="D796" s="92"/>
      <c r="E796" s="92"/>
      <c r="F796" s="92"/>
      <c r="G796" s="9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6" x14ac:dyDescent="0.3">
      <c r="A797" s="92"/>
      <c r="B797" s="92"/>
      <c r="C797" s="92"/>
      <c r="D797" s="92"/>
      <c r="E797" s="92"/>
      <c r="F797" s="92"/>
      <c r="G797" s="9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6" x14ac:dyDescent="0.3">
      <c r="A798" s="92"/>
      <c r="B798" s="92"/>
      <c r="C798" s="92"/>
      <c r="D798" s="92"/>
      <c r="E798" s="92"/>
      <c r="F798" s="92"/>
      <c r="G798" s="9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6" x14ac:dyDescent="0.3">
      <c r="A799" s="92"/>
      <c r="B799" s="92"/>
      <c r="C799" s="92"/>
      <c r="D799" s="92"/>
      <c r="E799" s="92"/>
      <c r="F799" s="92"/>
      <c r="G799" s="9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6" x14ac:dyDescent="0.3">
      <c r="A800" s="92"/>
      <c r="B800" s="92"/>
      <c r="C800" s="92"/>
      <c r="D800" s="92"/>
      <c r="E800" s="92"/>
      <c r="F800" s="92"/>
      <c r="G800" s="9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6" x14ac:dyDescent="0.3">
      <c r="A801" s="92"/>
      <c r="B801" s="92"/>
      <c r="C801" s="92"/>
      <c r="D801" s="92"/>
      <c r="E801" s="92"/>
      <c r="F801" s="92"/>
      <c r="G801" s="9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6" x14ac:dyDescent="0.3">
      <c r="A802" s="92"/>
      <c r="B802" s="92"/>
      <c r="C802" s="92"/>
      <c r="D802" s="92"/>
      <c r="E802" s="92"/>
      <c r="F802" s="92"/>
      <c r="G802" s="9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6" x14ac:dyDescent="0.3">
      <c r="A803" s="92"/>
      <c r="B803" s="92"/>
      <c r="C803" s="92"/>
      <c r="D803" s="92"/>
      <c r="E803" s="92"/>
      <c r="F803" s="92"/>
      <c r="G803" s="9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6" x14ac:dyDescent="0.3">
      <c r="A804" s="92"/>
      <c r="B804" s="92"/>
      <c r="C804" s="92"/>
      <c r="D804" s="92"/>
      <c r="E804" s="92"/>
      <c r="F804" s="92"/>
      <c r="G804" s="9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6" x14ac:dyDescent="0.3">
      <c r="A805" s="92"/>
      <c r="B805" s="92"/>
      <c r="C805" s="92"/>
      <c r="D805" s="92"/>
      <c r="E805" s="92"/>
      <c r="F805" s="92"/>
      <c r="G805" s="9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6" x14ac:dyDescent="0.3">
      <c r="A806" s="92"/>
      <c r="B806" s="92"/>
      <c r="C806" s="92"/>
      <c r="D806" s="92"/>
      <c r="E806" s="92"/>
      <c r="F806" s="92"/>
      <c r="G806" s="9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6" x14ac:dyDescent="0.3">
      <c r="A807" s="92"/>
      <c r="B807" s="92"/>
      <c r="C807" s="92"/>
      <c r="D807" s="92"/>
      <c r="E807" s="92"/>
      <c r="F807" s="92"/>
      <c r="G807" s="9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6" x14ac:dyDescent="0.3">
      <c r="A808" s="92"/>
      <c r="B808" s="92"/>
      <c r="C808" s="92"/>
      <c r="D808" s="92"/>
      <c r="E808" s="92"/>
      <c r="F808" s="92"/>
      <c r="G808" s="9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6" x14ac:dyDescent="0.3">
      <c r="A809" s="92"/>
      <c r="B809" s="92"/>
      <c r="C809" s="92"/>
      <c r="D809" s="92"/>
      <c r="E809" s="92"/>
      <c r="F809" s="92"/>
      <c r="G809" s="9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6" x14ac:dyDescent="0.3">
      <c r="A810" s="92"/>
      <c r="B810" s="92"/>
      <c r="C810" s="92"/>
      <c r="D810" s="92"/>
      <c r="E810" s="92"/>
      <c r="F810" s="92"/>
      <c r="G810" s="9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6" x14ac:dyDescent="0.3">
      <c r="A811" s="92"/>
      <c r="B811" s="92"/>
      <c r="C811" s="92"/>
      <c r="D811" s="92"/>
      <c r="E811" s="92"/>
      <c r="F811" s="92"/>
      <c r="G811" s="9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6" x14ac:dyDescent="0.3">
      <c r="A812" s="92"/>
      <c r="B812" s="92"/>
      <c r="C812" s="92"/>
      <c r="D812" s="92"/>
      <c r="E812" s="92"/>
      <c r="F812" s="92"/>
      <c r="G812" s="9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6" x14ac:dyDescent="0.3">
      <c r="A813" s="92"/>
      <c r="B813" s="92"/>
      <c r="C813" s="92"/>
      <c r="D813" s="92"/>
      <c r="E813" s="92"/>
      <c r="F813" s="92"/>
      <c r="G813" s="9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6" x14ac:dyDescent="0.3">
      <c r="A814" s="92"/>
      <c r="B814" s="92"/>
      <c r="C814" s="92"/>
      <c r="D814" s="92"/>
      <c r="E814" s="92"/>
      <c r="F814" s="92"/>
      <c r="G814" s="9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6" x14ac:dyDescent="0.3">
      <c r="A815" s="92"/>
      <c r="B815" s="92"/>
      <c r="C815" s="92"/>
      <c r="D815" s="92"/>
      <c r="E815" s="92"/>
      <c r="F815" s="92"/>
      <c r="G815" s="9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6" x14ac:dyDescent="0.3">
      <c r="A816" s="92"/>
      <c r="B816" s="92"/>
      <c r="C816" s="92"/>
      <c r="D816" s="92"/>
      <c r="E816" s="92"/>
      <c r="F816" s="92"/>
      <c r="G816" s="9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6" x14ac:dyDescent="0.3">
      <c r="A817" s="92"/>
      <c r="B817" s="92"/>
      <c r="C817" s="92"/>
      <c r="D817" s="92"/>
      <c r="E817" s="92"/>
      <c r="F817" s="92"/>
      <c r="G817" s="9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6" x14ac:dyDescent="0.3">
      <c r="A818" s="92"/>
      <c r="B818" s="92"/>
      <c r="C818" s="92"/>
      <c r="D818" s="92"/>
      <c r="E818" s="92"/>
      <c r="F818" s="92"/>
      <c r="G818" s="9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6" x14ac:dyDescent="0.3">
      <c r="A819" s="92"/>
      <c r="B819" s="92"/>
      <c r="C819" s="92"/>
      <c r="D819" s="92"/>
      <c r="E819" s="92"/>
      <c r="F819" s="92"/>
      <c r="G819" s="9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6" x14ac:dyDescent="0.3">
      <c r="A820" s="92"/>
      <c r="B820" s="92"/>
      <c r="C820" s="92"/>
      <c r="D820" s="92"/>
      <c r="E820" s="92"/>
      <c r="F820" s="92"/>
      <c r="G820" s="9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6" x14ac:dyDescent="0.3">
      <c r="A821" s="92"/>
      <c r="B821" s="92"/>
      <c r="C821" s="92"/>
      <c r="D821" s="92"/>
      <c r="E821" s="92"/>
      <c r="F821" s="92"/>
      <c r="G821" s="9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6" x14ac:dyDescent="0.3">
      <c r="A822" s="92"/>
      <c r="B822" s="92"/>
      <c r="C822" s="92"/>
      <c r="D822" s="92"/>
      <c r="E822" s="92"/>
      <c r="F822" s="92"/>
      <c r="G822" s="9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6" x14ac:dyDescent="0.3">
      <c r="A823" s="92"/>
      <c r="B823" s="92"/>
      <c r="C823" s="92"/>
      <c r="D823" s="92"/>
      <c r="E823" s="92"/>
      <c r="F823" s="92"/>
      <c r="G823" s="9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6" x14ac:dyDescent="0.3">
      <c r="A824" s="92"/>
      <c r="B824" s="92"/>
      <c r="C824" s="92"/>
      <c r="D824" s="92"/>
      <c r="E824" s="92"/>
      <c r="F824" s="92"/>
      <c r="G824" s="9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6" x14ac:dyDescent="0.3">
      <c r="A825" s="92"/>
      <c r="B825" s="92"/>
      <c r="C825" s="92"/>
      <c r="D825" s="92"/>
      <c r="E825" s="92"/>
      <c r="F825" s="92"/>
      <c r="G825" s="9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6" x14ac:dyDescent="0.3">
      <c r="A826" s="92"/>
      <c r="B826" s="92"/>
      <c r="C826" s="92"/>
      <c r="D826" s="92"/>
      <c r="E826" s="92"/>
      <c r="F826" s="92"/>
      <c r="G826" s="9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6" x14ac:dyDescent="0.3">
      <c r="A827" s="92"/>
      <c r="B827" s="92"/>
      <c r="C827" s="92"/>
      <c r="D827" s="92"/>
      <c r="E827" s="92"/>
      <c r="F827" s="92"/>
      <c r="G827" s="9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6" x14ac:dyDescent="0.3">
      <c r="A828" s="92"/>
      <c r="B828" s="92"/>
      <c r="C828" s="92"/>
      <c r="D828" s="92"/>
      <c r="E828" s="92"/>
      <c r="F828" s="92"/>
      <c r="G828" s="9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6" x14ac:dyDescent="0.3">
      <c r="A829" s="92"/>
      <c r="B829" s="92"/>
      <c r="C829" s="92"/>
      <c r="D829" s="92"/>
      <c r="E829" s="92"/>
      <c r="F829" s="92"/>
      <c r="G829" s="9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6" x14ac:dyDescent="0.3">
      <c r="A830" s="92"/>
      <c r="B830" s="92"/>
      <c r="C830" s="92"/>
      <c r="D830" s="92"/>
      <c r="E830" s="92"/>
      <c r="F830" s="92"/>
      <c r="G830" s="9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6" x14ac:dyDescent="0.3">
      <c r="A831" s="92"/>
      <c r="B831" s="92"/>
      <c r="C831" s="92"/>
      <c r="D831" s="92"/>
      <c r="E831" s="92"/>
      <c r="F831" s="92"/>
      <c r="G831" s="9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6" x14ac:dyDescent="0.3">
      <c r="A832" s="92"/>
      <c r="B832" s="92"/>
      <c r="C832" s="92"/>
      <c r="D832" s="92"/>
      <c r="E832" s="92"/>
      <c r="F832" s="92"/>
      <c r="G832" s="9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6" x14ac:dyDescent="0.3">
      <c r="A833" s="92"/>
      <c r="B833" s="92"/>
      <c r="C833" s="92"/>
      <c r="D833" s="92"/>
      <c r="E833" s="92"/>
      <c r="F833" s="92"/>
      <c r="G833" s="9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6" x14ac:dyDescent="0.3">
      <c r="A834" s="92"/>
      <c r="B834" s="92"/>
      <c r="C834" s="92"/>
      <c r="D834" s="92"/>
      <c r="E834" s="92"/>
      <c r="F834" s="92"/>
      <c r="G834" s="9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6" x14ac:dyDescent="0.3">
      <c r="A835" s="92"/>
      <c r="B835" s="92"/>
      <c r="C835" s="92"/>
      <c r="D835" s="92"/>
      <c r="E835" s="92"/>
      <c r="F835" s="92"/>
      <c r="G835" s="9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6" x14ac:dyDescent="0.3">
      <c r="A836" s="92"/>
      <c r="B836" s="92"/>
      <c r="C836" s="92"/>
      <c r="D836" s="92"/>
      <c r="E836" s="92"/>
      <c r="F836" s="92"/>
      <c r="G836" s="9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6" x14ac:dyDescent="0.3">
      <c r="A837" s="92"/>
      <c r="B837" s="92"/>
      <c r="C837" s="92"/>
      <c r="D837" s="92"/>
      <c r="E837" s="92"/>
      <c r="F837" s="92"/>
      <c r="G837" s="9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6" x14ac:dyDescent="0.3">
      <c r="A838" s="92"/>
      <c r="B838" s="92"/>
      <c r="C838" s="92"/>
      <c r="D838" s="92"/>
      <c r="E838" s="92"/>
      <c r="F838" s="92"/>
      <c r="G838" s="9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6" x14ac:dyDescent="0.3">
      <c r="A839" s="92"/>
      <c r="B839" s="92"/>
      <c r="C839" s="92"/>
      <c r="D839" s="92"/>
      <c r="E839" s="92"/>
      <c r="F839" s="92"/>
      <c r="G839" s="9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6" x14ac:dyDescent="0.3">
      <c r="A840" s="92"/>
      <c r="B840" s="92"/>
      <c r="C840" s="92"/>
      <c r="D840" s="92"/>
      <c r="E840" s="92"/>
      <c r="F840" s="92"/>
      <c r="G840" s="9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6" x14ac:dyDescent="0.3">
      <c r="A841" s="92"/>
      <c r="B841" s="92"/>
      <c r="C841" s="92"/>
      <c r="D841" s="92"/>
      <c r="E841" s="92"/>
      <c r="F841" s="92"/>
      <c r="G841" s="9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6" x14ac:dyDescent="0.3">
      <c r="A842" s="92"/>
      <c r="B842" s="92"/>
      <c r="C842" s="92"/>
      <c r="D842" s="92"/>
      <c r="E842" s="92"/>
      <c r="F842" s="92"/>
      <c r="G842" s="9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6" x14ac:dyDescent="0.3">
      <c r="A843" s="92"/>
      <c r="B843" s="92"/>
      <c r="C843" s="92"/>
      <c r="D843" s="92"/>
      <c r="E843" s="92"/>
      <c r="F843" s="92"/>
      <c r="G843" s="9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6" x14ac:dyDescent="0.3">
      <c r="A844" s="92"/>
      <c r="B844" s="92"/>
      <c r="C844" s="92"/>
      <c r="D844" s="92"/>
      <c r="E844" s="92"/>
      <c r="F844" s="92"/>
      <c r="G844" s="9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6" x14ac:dyDescent="0.3">
      <c r="A845" s="92"/>
      <c r="B845" s="92"/>
      <c r="C845" s="92"/>
      <c r="D845" s="92"/>
      <c r="E845" s="92"/>
      <c r="F845" s="92"/>
      <c r="G845" s="9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6" x14ac:dyDescent="0.3">
      <c r="A846" s="92"/>
      <c r="B846" s="92"/>
      <c r="C846" s="92"/>
      <c r="D846" s="92"/>
      <c r="E846" s="92"/>
      <c r="F846" s="92"/>
      <c r="G846" s="9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6" x14ac:dyDescent="0.3">
      <c r="A847" s="92"/>
      <c r="B847" s="92"/>
      <c r="C847" s="92"/>
      <c r="D847" s="92"/>
      <c r="E847" s="92"/>
      <c r="F847" s="92"/>
      <c r="G847" s="9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6" x14ac:dyDescent="0.3">
      <c r="A848" s="92"/>
      <c r="B848" s="92"/>
      <c r="C848" s="92"/>
      <c r="D848" s="92"/>
      <c r="E848" s="92"/>
      <c r="F848" s="92"/>
      <c r="G848" s="9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6" x14ac:dyDescent="0.3">
      <c r="A849" s="92"/>
      <c r="B849" s="92"/>
      <c r="C849" s="92"/>
      <c r="D849" s="92"/>
      <c r="E849" s="92"/>
      <c r="F849" s="92"/>
      <c r="G849" s="9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6" x14ac:dyDescent="0.3">
      <c r="A850" s="92"/>
      <c r="B850" s="92"/>
      <c r="C850" s="92"/>
      <c r="D850" s="92"/>
      <c r="E850" s="92"/>
      <c r="F850" s="92"/>
      <c r="G850" s="9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6" x14ac:dyDescent="0.3">
      <c r="A851" s="92"/>
      <c r="B851" s="92"/>
      <c r="C851" s="92"/>
      <c r="D851" s="92"/>
      <c r="E851" s="92"/>
      <c r="F851" s="92"/>
      <c r="G851" s="9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6" x14ac:dyDescent="0.3">
      <c r="A852" s="92"/>
      <c r="B852" s="92"/>
      <c r="C852" s="92"/>
      <c r="D852" s="92"/>
      <c r="E852" s="92"/>
      <c r="F852" s="92"/>
      <c r="G852" s="9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6" x14ac:dyDescent="0.3">
      <c r="A853" s="92"/>
      <c r="B853" s="92"/>
      <c r="C853" s="92"/>
      <c r="D853" s="92"/>
      <c r="E853" s="92"/>
      <c r="F853" s="92"/>
      <c r="G853" s="9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6" x14ac:dyDescent="0.3">
      <c r="A854" s="92"/>
      <c r="B854" s="92"/>
      <c r="C854" s="92"/>
      <c r="D854" s="92"/>
      <c r="E854" s="92"/>
      <c r="F854" s="92"/>
      <c r="G854" s="9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6" x14ac:dyDescent="0.3">
      <c r="A855" s="92"/>
      <c r="B855" s="92"/>
      <c r="C855" s="92"/>
      <c r="D855" s="92"/>
      <c r="E855" s="92"/>
      <c r="F855" s="92"/>
      <c r="G855" s="9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6" x14ac:dyDescent="0.3">
      <c r="A856" s="92"/>
      <c r="B856" s="92"/>
      <c r="C856" s="92"/>
      <c r="D856" s="92"/>
      <c r="E856" s="92"/>
      <c r="F856" s="92"/>
      <c r="G856" s="9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6" x14ac:dyDescent="0.3">
      <c r="A857" s="92"/>
      <c r="B857" s="92"/>
      <c r="C857" s="92"/>
      <c r="D857" s="92"/>
      <c r="E857" s="92"/>
      <c r="F857" s="92"/>
      <c r="G857" s="9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6" x14ac:dyDescent="0.3">
      <c r="A858" s="92"/>
      <c r="B858" s="92"/>
      <c r="C858" s="92"/>
      <c r="D858" s="92"/>
      <c r="E858" s="92"/>
      <c r="F858" s="92"/>
      <c r="G858" s="9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6" x14ac:dyDescent="0.3">
      <c r="A859" s="92"/>
      <c r="B859" s="92"/>
      <c r="C859" s="92"/>
      <c r="D859" s="92"/>
      <c r="E859" s="92"/>
      <c r="F859" s="92"/>
      <c r="G859" s="9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6" x14ac:dyDescent="0.3">
      <c r="A860" s="92"/>
      <c r="B860" s="92"/>
      <c r="C860" s="92"/>
      <c r="D860" s="92"/>
      <c r="E860" s="92"/>
      <c r="F860" s="92"/>
      <c r="G860" s="9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6" x14ac:dyDescent="0.3">
      <c r="A861" s="92"/>
      <c r="B861" s="92"/>
      <c r="C861" s="92"/>
      <c r="D861" s="92"/>
      <c r="E861" s="92"/>
      <c r="F861" s="92"/>
      <c r="G861" s="9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6" x14ac:dyDescent="0.3">
      <c r="A862" s="92"/>
      <c r="B862" s="92"/>
      <c r="C862" s="92"/>
      <c r="D862" s="92"/>
      <c r="E862" s="92"/>
      <c r="F862" s="92"/>
      <c r="G862" s="9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6" x14ac:dyDescent="0.3">
      <c r="A863" s="92"/>
      <c r="B863" s="92"/>
      <c r="C863" s="92"/>
      <c r="D863" s="92"/>
      <c r="E863" s="92"/>
      <c r="F863" s="92"/>
      <c r="G863" s="9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6" x14ac:dyDescent="0.3">
      <c r="A864" s="92"/>
      <c r="B864" s="92"/>
      <c r="C864" s="92"/>
      <c r="D864" s="92"/>
      <c r="E864" s="92"/>
      <c r="F864" s="92"/>
      <c r="G864" s="9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6" x14ac:dyDescent="0.3">
      <c r="A865" s="92"/>
      <c r="B865" s="92"/>
      <c r="C865" s="92"/>
      <c r="D865" s="92"/>
      <c r="E865" s="92"/>
      <c r="F865" s="92"/>
      <c r="G865" s="9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6" x14ac:dyDescent="0.3">
      <c r="A866" s="92"/>
      <c r="B866" s="92"/>
      <c r="C866" s="92"/>
      <c r="D866" s="92"/>
      <c r="E866" s="92"/>
      <c r="F866" s="92"/>
      <c r="G866" s="9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6" x14ac:dyDescent="0.3">
      <c r="A867" s="92"/>
      <c r="B867" s="92"/>
      <c r="C867" s="92"/>
      <c r="D867" s="92"/>
      <c r="E867" s="92"/>
      <c r="F867" s="92"/>
      <c r="G867" s="9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6" x14ac:dyDescent="0.3">
      <c r="A868" s="92"/>
      <c r="B868" s="92"/>
      <c r="C868" s="92"/>
      <c r="D868" s="92"/>
      <c r="E868" s="92"/>
      <c r="F868" s="92"/>
      <c r="G868" s="9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6" x14ac:dyDescent="0.3">
      <c r="A869" s="92"/>
      <c r="B869" s="92"/>
      <c r="C869" s="92"/>
      <c r="D869" s="92"/>
      <c r="E869" s="92"/>
      <c r="F869" s="92"/>
      <c r="G869" s="9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6" x14ac:dyDescent="0.3">
      <c r="A870" s="92"/>
      <c r="B870" s="92"/>
      <c r="C870" s="92"/>
      <c r="D870" s="92"/>
      <c r="E870" s="92"/>
      <c r="F870" s="92"/>
      <c r="G870" s="9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6" x14ac:dyDescent="0.3">
      <c r="A871" s="92"/>
      <c r="B871" s="92"/>
      <c r="C871" s="92"/>
      <c r="D871" s="92"/>
      <c r="E871" s="92"/>
      <c r="F871" s="92"/>
      <c r="G871" s="9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6" x14ac:dyDescent="0.3">
      <c r="A872" s="92"/>
      <c r="B872" s="92"/>
      <c r="C872" s="92"/>
      <c r="D872" s="92"/>
      <c r="E872" s="92"/>
      <c r="F872" s="92"/>
      <c r="G872" s="9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6" x14ac:dyDescent="0.3">
      <c r="A873" s="92"/>
      <c r="B873" s="92"/>
      <c r="C873" s="92"/>
      <c r="D873" s="92"/>
      <c r="E873" s="92"/>
      <c r="F873" s="92"/>
      <c r="G873" s="9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6" x14ac:dyDescent="0.3">
      <c r="A874" s="92"/>
      <c r="B874" s="92"/>
      <c r="C874" s="92"/>
      <c r="D874" s="92"/>
      <c r="E874" s="92"/>
      <c r="F874" s="92"/>
      <c r="G874" s="9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6" x14ac:dyDescent="0.3">
      <c r="A875" s="92"/>
      <c r="B875" s="92"/>
      <c r="C875" s="92"/>
      <c r="D875" s="92"/>
      <c r="E875" s="92"/>
      <c r="F875" s="92"/>
      <c r="G875" s="9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6" x14ac:dyDescent="0.3">
      <c r="A876" s="92"/>
      <c r="B876" s="92"/>
      <c r="C876" s="92"/>
      <c r="D876" s="92"/>
      <c r="E876" s="92"/>
      <c r="F876" s="92"/>
      <c r="G876" s="9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6" x14ac:dyDescent="0.3">
      <c r="A877" s="92"/>
      <c r="B877" s="92"/>
      <c r="C877" s="92"/>
      <c r="D877" s="92"/>
      <c r="E877" s="92"/>
      <c r="F877" s="92"/>
      <c r="G877" s="9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6" x14ac:dyDescent="0.3">
      <c r="A878" s="92"/>
      <c r="B878" s="92"/>
      <c r="C878" s="92"/>
      <c r="D878" s="92"/>
      <c r="E878" s="92"/>
      <c r="F878" s="92"/>
      <c r="G878" s="9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6" x14ac:dyDescent="0.3">
      <c r="A879" s="92"/>
      <c r="B879" s="92"/>
      <c r="C879" s="92"/>
      <c r="D879" s="92"/>
      <c r="E879" s="92"/>
      <c r="F879" s="92"/>
      <c r="G879" s="9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6" x14ac:dyDescent="0.3">
      <c r="A880" s="92"/>
      <c r="B880" s="92"/>
      <c r="C880" s="92"/>
      <c r="D880" s="92"/>
      <c r="E880" s="92"/>
      <c r="F880" s="92"/>
      <c r="G880" s="9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6" x14ac:dyDescent="0.3">
      <c r="A881" s="92"/>
      <c r="B881" s="92"/>
      <c r="C881" s="92"/>
      <c r="D881" s="92"/>
      <c r="E881" s="92"/>
      <c r="F881" s="92"/>
      <c r="G881" s="9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6" x14ac:dyDescent="0.3">
      <c r="A882" s="92"/>
      <c r="B882" s="92"/>
      <c r="C882" s="92"/>
      <c r="D882" s="92"/>
      <c r="E882" s="92"/>
      <c r="F882" s="92"/>
      <c r="G882" s="9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6" x14ac:dyDescent="0.3">
      <c r="A883" s="92"/>
      <c r="B883" s="92"/>
      <c r="C883" s="92"/>
      <c r="D883" s="92"/>
      <c r="E883" s="92"/>
      <c r="F883" s="92"/>
      <c r="G883" s="9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6" x14ac:dyDescent="0.3">
      <c r="A884" s="92"/>
      <c r="B884" s="92"/>
      <c r="C884" s="92"/>
      <c r="D884" s="92"/>
      <c r="E884" s="92"/>
      <c r="F884" s="92"/>
      <c r="G884" s="9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6" x14ac:dyDescent="0.3">
      <c r="A885" s="92"/>
      <c r="B885" s="92"/>
      <c r="C885" s="92"/>
      <c r="D885" s="92"/>
      <c r="E885" s="92"/>
      <c r="F885" s="92"/>
      <c r="G885" s="9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6" x14ac:dyDescent="0.3">
      <c r="A886" s="92"/>
      <c r="B886" s="92"/>
      <c r="C886" s="92"/>
      <c r="D886" s="92"/>
      <c r="E886" s="92"/>
      <c r="F886" s="92"/>
      <c r="G886" s="9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6" x14ac:dyDescent="0.3">
      <c r="A887" s="92"/>
      <c r="B887" s="92"/>
      <c r="C887" s="92"/>
      <c r="D887" s="92"/>
      <c r="E887" s="92"/>
      <c r="F887" s="92"/>
      <c r="G887" s="9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6" x14ac:dyDescent="0.3">
      <c r="A888" s="92"/>
      <c r="B888" s="92"/>
      <c r="C888" s="92"/>
      <c r="D888" s="92"/>
      <c r="E888" s="92"/>
      <c r="F888" s="92"/>
      <c r="G888" s="9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6" x14ac:dyDescent="0.3">
      <c r="A889" s="92"/>
      <c r="B889" s="92"/>
      <c r="C889" s="92"/>
      <c r="D889" s="92"/>
      <c r="E889" s="92"/>
      <c r="F889" s="92"/>
      <c r="G889" s="9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6" x14ac:dyDescent="0.3">
      <c r="A890" s="92"/>
      <c r="B890" s="92"/>
      <c r="C890" s="92"/>
      <c r="D890" s="92"/>
      <c r="E890" s="92"/>
      <c r="F890" s="92"/>
      <c r="G890" s="9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6" x14ac:dyDescent="0.3">
      <c r="A891" s="92"/>
      <c r="B891" s="92"/>
      <c r="C891" s="92"/>
      <c r="D891" s="92"/>
      <c r="E891" s="92"/>
      <c r="F891" s="92"/>
      <c r="G891" s="9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6" x14ac:dyDescent="0.3">
      <c r="A892" s="92"/>
      <c r="B892" s="92"/>
      <c r="C892" s="92"/>
      <c r="D892" s="92"/>
      <c r="E892" s="92"/>
      <c r="F892" s="92"/>
      <c r="G892" s="9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6" x14ac:dyDescent="0.3">
      <c r="A893" s="92"/>
      <c r="B893" s="92"/>
      <c r="C893" s="92"/>
      <c r="D893" s="92"/>
      <c r="E893" s="92"/>
      <c r="F893" s="92"/>
      <c r="G893" s="9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6" x14ac:dyDescent="0.3">
      <c r="A894" s="92"/>
      <c r="B894" s="92"/>
      <c r="C894" s="92"/>
      <c r="D894" s="92"/>
      <c r="E894" s="92"/>
      <c r="F894" s="92"/>
      <c r="G894" s="9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6" x14ac:dyDescent="0.3">
      <c r="A895" s="92"/>
      <c r="B895" s="92"/>
      <c r="C895" s="92"/>
      <c r="D895" s="92"/>
      <c r="E895" s="92"/>
      <c r="F895" s="92"/>
      <c r="G895" s="9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6" x14ac:dyDescent="0.3">
      <c r="A896" s="92"/>
      <c r="B896" s="92"/>
      <c r="C896" s="92"/>
      <c r="D896" s="92"/>
      <c r="E896" s="92"/>
      <c r="F896" s="92"/>
      <c r="G896" s="9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6" x14ac:dyDescent="0.3">
      <c r="A897" s="92"/>
      <c r="B897" s="92"/>
      <c r="C897" s="92"/>
      <c r="D897" s="92"/>
      <c r="E897" s="92"/>
      <c r="F897" s="92"/>
      <c r="G897" s="9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6" x14ac:dyDescent="0.3">
      <c r="A898" s="92"/>
      <c r="B898" s="92"/>
      <c r="C898" s="92"/>
      <c r="D898" s="92"/>
      <c r="E898" s="92"/>
      <c r="F898" s="92"/>
      <c r="G898" s="9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6" x14ac:dyDescent="0.3">
      <c r="A899" s="92"/>
      <c r="B899" s="92"/>
      <c r="C899" s="92"/>
      <c r="D899" s="92"/>
      <c r="E899" s="92"/>
      <c r="F899" s="92"/>
      <c r="G899" s="9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6" x14ac:dyDescent="0.3">
      <c r="A900" s="92"/>
      <c r="B900" s="92"/>
      <c r="C900" s="92"/>
      <c r="D900" s="92"/>
      <c r="E900" s="92"/>
      <c r="F900" s="92"/>
      <c r="G900" s="9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6" x14ac:dyDescent="0.3">
      <c r="A901" s="92"/>
      <c r="B901" s="92"/>
      <c r="C901" s="92"/>
      <c r="D901" s="92"/>
      <c r="E901" s="92"/>
      <c r="F901" s="92"/>
      <c r="G901" s="9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6" x14ac:dyDescent="0.3">
      <c r="A902" s="92"/>
      <c r="B902" s="92"/>
      <c r="C902" s="92"/>
      <c r="D902" s="92"/>
      <c r="E902" s="92"/>
      <c r="F902" s="92"/>
      <c r="G902" s="9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6" x14ac:dyDescent="0.3">
      <c r="A903" s="92"/>
      <c r="B903" s="92"/>
      <c r="C903" s="92"/>
      <c r="D903" s="92"/>
      <c r="E903" s="92"/>
      <c r="F903" s="92"/>
      <c r="G903" s="9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6" x14ac:dyDescent="0.3">
      <c r="A904" s="92"/>
      <c r="B904" s="92"/>
      <c r="C904" s="92"/>
      <c r="D904" s="92"/>
      <c r="E904" s="92"/>
      <c r="F904" s="92"/>
      <c r="G904" s="9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6" x14ac:dyDescent="0.3">
      <c r="A905" s="92"/>
      <c r="B905" s="92"/>
      <c r="C905" s="92"/>
      <c r="D905" s="92"/>
      <c r="E905" s="92"/>
      <c r="F905" s="92"/>
      <c r="G905" s="9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6" x14ac:dyDescent="0.3">
      <c r="A906" s="92"/>
      <c r="B906" s="92"/>
      <c r="C906" s="92"/>
      <c r="D906" s="92"/>
      <c r="E906" s="92"/>
      <c r="F906" s="92"/>
      <c r="G906" s="9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6" x14ac:dyDescent="0.3">
      <c r="A907" s="92"/>
      <c r="B907" s="92"/>
      <c r="C907" s="92"/>
      <c r="D907" s="92"/>
      <c r="E907" s="92"/>
      <c r="F907" s="92"/>
      <c r="G907" s="9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6" x14ac:dyDescent="0.3">
      <c r="A908" s="92"/>
      <c r="B908" s="92"/>
      <c r="C908" s="92"/>
      <c r="D908" s="92"/>
      <c r="E908" s="92"/>
      <c r="F908" s="92"/>
      <c r="G908" s="9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6" x14ac:dyDescent="0.3">
      <c r="A909" s="92"/>
      <c r="B909" s="92"/>
      <c r="C909" s="92"/>
      <c r="D909" s="92"/>
      <c r="E909" s="92"/>
      <c r="F909" s="92"/>
      <c r="G909" s="9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6" x14ac:dyDescent="0.3">
      <c r="A910" s="92"/>
      <c r="B910" s="92"/>
      <c r="C910" s="92"/>
      <c r="D910" s="92"/>
      <c r="E910" s="92"/>
      <c r="F910" s="92"/>
      <c r="G910" s="9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6" x14ac:dyDescent="0.3">
      <c r="A911" s="92"/>
      <c r="B911" s="92"/>
      <c r="C911" s="92"/>
      <c r="D911" s="92"/>
      <c r="E911" s="92"/>
      <c r="F911" s="92"/>
      <c r="G911" s="9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6" x14ac:dyDescent="0.3">
      <c r="A912" s="92"/>
      <c r="B912" s="92"/>
      <c r="C912" s="92"/>
      <c r="D912" s="92"/>
      <c r="E912" s="92"/>
      <c r="F912" s="92"/>
      <c r="G912" s="9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6" x14ac:dyDescent="0.3">
      <c r="A913" s="92"/>
      <c r="B913" s="92"/>
      <c r="C913" s="92"/>
      <c r="D913" s="92"/>
      <c r="E913" s="92"/>
      <c r="F913" s="92"/>
      <c r="G913" s="9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6" x14ac:dyDescent="0.3">
      <c r="A914" s="92"/>
      <c r="B914" s="92"/>
      <c r="C914" s="92"/>
      <c r="D914" s="92"/>
      <c r="E914" s="92"/>
      <c r="F914" s="92"/>
      <c r="G914" s="9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6" x14ac:dyDescent="0.3">
      <c r="A915" s="92"/>
      <c r="B915" s="92"/>
      <c r="C915" s="92"/>
      <c r="D915" s="92"/>
      <c r="E915" s="92"/>
      <c r="F915" s="92"/>
      <c r="G915" s="9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6" x14ac:dyDescent="0.3">
      <c r="A916" s="92"/>
      <c r="B916" s="92"/>
      <c r="C916" s="92"/>
      <c r="D916" s="92"/>
      <c r="E916" s="92"/>
      <c r="F916" s="92"/>
      <c r="G916" s="9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6" x14ac:dyDescent="0.3">
      <c r="A917" s="92"/>
      <c r="B917" s="92"/>
      <c r="C917" s="92"/>
      <c r="D917" s="92"/>
      <c r="E917" s="92"/>
      <c r="F917" s="92"/>
      <c r="G917" s="9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6" x14ac:dyDescent="0.3">
      <c r="A918" s="92"/>
      <c r="B918" s="92"/>
      <c r="C918" s="92"/>
      <c r="D918" s="92"/>
      <c r="E918" s="92"/>
      <c r="F918" s="92"/>
      <c r="G918" s="9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6" x14ac:dyDescent="0.3">
      <c r="A919" s="92"/>
      <c r="B919" s="92"/>
      <c r="C919" s="92"/>
      <c r="D919" s="92"/>
      <c r="E919" s="92"/>
      <c r="F919" s="92"/>
      <c r="G919" s="9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6" x14ac:dyDescent="0.3">
      <c r="A920" s="92"/>
      <c r="B920" s="92"/>
      <c r="C920" s="92"/>
      <c r="D920" s="92"/>
      <c r="E920" s="92"/>
      <c r="F920" s="92"/>
      <c r="G920" s="9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6" x14ac:dyDescent="0.3">
      <c r="A921" s="92"/>
      <c r="B921" s="92"/>
      <c r="C921" s="92"/>
      <c r="D921" s="92"/>
      <c r="E921" s="92"/>
      <c r="F921" s="92"/>
      <c r="G921" s="9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6" x14ac:dyDescent="0.3">
      <c r="A922" s="92"/>
      <c r="B922" s="92"/>
      <c r="C922" s="92"/>
      <c r="D922" s="92"/>
      <c r="E922" s="92"/>
      <c r="F922" s="92"/>
      <c r="G922" s="9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6" x14ac:dyDescent="0.3">
      <c r="A923" s="92"/>
      <c r="B923" s="92"/>
      <c r="C923" s="92"/>
      <c r="D923" s="92"/>
      <c r="E923" s="92"/>
      <c r="F923" s="92"/>
      <c r="G923" s="9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6" x14ac:dyDescent="0.3">
      <c r="A924" s="92"/>
      <c r="B924" s="92"/>
      <c r="C924" s="92"/>
      <c r="D924" s="92"/>
      <c r="E924" s="92"/>
      <c r="F924" s="92"/>
      <c r="G924" s="9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6" x14ac:dyDescent="0.3">
      <c r="A925" s="92"/>
      <c r="B925" s="92"/>
      <c r="C925" s="92"/>
      <c r="D925" s="92"/>
      <c r="E925" s="92"/>
      <c r="F925" s="92"/>
      <c r="G925" s="9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6" x14ac:dyDescent="0.3">
      <c r="A926" s="92"/>
      <c r="B926" s="92"/>
      <c r="C926" s="92"/>
      <c r="D926" s="92"/>
      <c r="E926" s="92"/>
      <c r="F926" s="92"/>
      <c r="G926" s="9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6" x14ac:dyDescent="0.3">
      <c r="A927" s="92"/>
      <c r="B927" s="92"/>
      <c r="C927" s="92"/>
      <c r="D927" s="92"/>
      <c r="E927" s="92"/>
      <c r="F927" s="92"/>
      <c r="G927" s="9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6" x14ac:dyDescent="0.3">
      <c r="A928" s="92"/>
      <c r="B928" s="92"/>
      <c r="C928" s="92"/>
      <c r="D928" s="92"/>
      <c r="E928" s="92"/>
      <c r="F928" s="92"/>
      <c r="G928" s="9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6" x14ac:dyDescent="0.3">
      <c r="A929" s="92"/>
      <c r="B929" s="92"/>
      <c r="C929" s="92"/>
      <c r="D929" s="92"/>
      <c r="E929" s="92"/>
      <c r="F929" s="92"/>
      <c r="G929" s="9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6" x14ac:dyDescent="0.3">
      <c r="A930" s="92"/>
      <c r="B930" s="92"/>
      <c r="C930" s="92"/>
      <c r="D930" s="92"/>
      <c r="E930" s="92"/>
      <c r="F930" s="92"/>
      <c r="G930" s="9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6" x14ac:dyDescent="0.3">
      <c r="A931" s="92"/>
      <c r="B931" s="92"/>
      <c r="C931" s="92"/>
      <c r="D931" s="92"/>
      <c r="E931" s="92"/>
      <c r="F931" s="92"/>
      <c r="G931" s="9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6" x14ac:dyDescent="0.3">
      <c r="A932" s="92"/>
      <c r="B932" s="92"/>
      <c r="C932" s="92"/>
      <c r="D932" s="92"/>
      <c r="E932" s="92"/>
      <c r="F932" s="92"/>
      <c r="G932" s="9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6" x14ac:dyDescent="0.3">
      <c r="A933" s="92"/>
      <c r="B933" s="92"/>
      <c r="C933" s="92"/>
      <c r="D933" s="92"/>
      <c r="E933" s="92"/>
      <c r="F933" s="92"/>
      <c r="G933" s="9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6" x14ac:dyDescent="0.3">
      <c r="A934" s="92"/>
      <c r="B934" s="92"/>
      <c r="C934" s="92"/>
      <c r="D934" s="92"/>
      <c r="E934" s="92"/>
      <c r="F934" s="92"/>
      <c r="G934" s="9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6" x14ac:dyDescent="0.3">
      <c r="A935" s="92"/>
      <c r="B935" s="92"/>
      <c r="C935" s="92"/>
      <c r="D935" s="92"/>
      <c r="E935" s="92"/>
      <c r="F935" s="92"/>
      <c r="G935" s="9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6" x14ac:dyDescent="0.3">
      <c r="A936" s="92"/>
      <c r="B936" s="92"/>
      <c r="C936" s="92"/>
      <c r="D936" s="92"/>
      <c r="E936" s="92"/>
      <c r="F936" s="92"/>
      <c r="G936" s="9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6" x14ac:dyDescent="0.3">
      <c r="A937" s="92"/>
      <c r="B937" s="92"/>
      <c r="C937" s="92"/>
      <c r="D937" s="92"/>
      <c r="E937" s="92"/>
      <c r="F937" s="92"/>
      <c r="G937" s="9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6" x14ac:dyDescent="0.3">
      <c r="A938" s="92"/>
      <c r="B938" s="92"/>
      <c r="C938" s="92"/>
      <c r="D938" s="92"/>
      <c r="E938" s="92"/>
      <c r="F938" s="92"/>
      <c r="G938" s="9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6" x14ac:dyDescent="0.3">
      <c r="A939" s="92"/>
      <c r="B939" s="92"/>
      <c r="C939" s="92"/>
      <c r="D939" s="92"/>
      <c r="E939" s="92"/>
      <c r="F939" s="92"/>
      <c r="G939" s="9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6" x14ac:dyDescent="0.3">
      <c r="A940" s="92"/>
      <c r="B940" s="92"/>
      <c r="C940" s="92"/>
      <c r="D940" s="92"/>
      <c r="E940" s="92"/>
      <c r="F940" s="92"/>
      <c r="G940" s="9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6" x14ac:dyDescent="0.3">
      <c r="A941" s="92"/>
      <c r="B941" s="92"/>
      <c r="C941" s="92"/>
      <c r="D941" s="92"/>
      <c r="E941" s="92"/>
      <c r="F941" s="92"/>
      <c r="G941" s="9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6" x14ac:dyDescent="0.3">
      <c r="A942" s="92"/>
      <c r="B942" s="92"/>
      <c r="C942" s="92"/>
      <c r="D942" s="92"/>
      <c r="E942" s="92"/>
      <c r="F942" s="92"/>
      <c r="G942" s="9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6" x14ac:dyDescent="0.3">
      <c r="A943" s="92"/>
      <c r="B943" s="92"/>
      <c r="C943" s="92"/>
      <c r="D943" s="92"/>
      <c r="E943" s="92"/>
      <c r="F943" s="92"/>
      <c r="G943" s="9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6" x14ac:dyDescent="0.3">
      <c r="A944" s="92"/>
      <c r="B944" s="92"/>
      <c r="C944" s="92"/>
      <c r="D944" s="92"/>
      <c r="E944" s="92"/>
      <c r="F944" s="92"/>
      <c r="G944" s="9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6" x14ac:dyDescent="0.3">
      <c r="A945" s="92"/>
      <c r="B945" s="92"/>
      <c r="C945" s="92"/>
      <c r="D945" s="92"/>
      <c r="E945" s="92"/>
      <c r="F945" s="92"/>
      <c r="G945" s="9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6" x14ac:dyDescent="0.3">
      <c r="A946" s="92"/>
      <c r="B946" s="92"/>
      <c r="C946" s="92"/>
      <c r="D946" s="92"/>
      <c r="E946" s="92"/>
      <c r="F946" s="92"/>
      <c r="G946" s="9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6" x14ac:dyDescent="0.3">
      <c r="A947" s="92"/>
      <c r="B947" s="92"/>
      <c r="C947" s="92"/>
      <c r="D947" s="92"/>
      <c r="E947" s="92"/>
      <c r="F947" s="92"/>
      <c r="G947" s="9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6" x14ac:dyDescent="0.3">
      <c r="A948" s="92"/>
      <c r="B948" s="92"/>
      <c r="C948" s="92"/>
      <c r="D948" s="92"/>
      <c r="E948" s="92"/>
      <c r="F948" s="92"/>
      <c r="G948" s="9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6" x14ac:dyDescent="0.3">
      <c r="A949" s="92"/>
      <c r="B949" s="92"/>
      <c r="C949" s="92"/>
      <c r="D949" s="92"/>
      <c r="E949" s="92"/>
      <c r="F949" s="92"/>
      <c r="G949" s="9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6" x14ac:dyDescent="0.3">
      <c r="A950" s="92"/>
      <c r="B950" s="92"/>
      <c r="C950" s="92"/>
      <c r="D950" s="92"/>
      <c r="E950" s="92"/>
      <c r="F950" s="92"/>
      <c r="G950" s="9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6" x14ac:dyDescent="0.3">
      <c r="A951" s="92"/>
      <c r="B951" s="92"/>
      <c r="C951" s="92"/>
      <c r="D951" s="92"/>
      <c r="E951" s="92"/>
      <c r="F951" s="92"/>
      <c r="G951" s="9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6" x14ac:dyDescent="0.3">
      <c r="A952" s="92"/>
      <c r="B952" s="92"/>
      <c r="C952" s="92"/>
      <c r="D952" s="92"/>
      <c r="E952" s="92"/>
      <c r="F952" s="92"/>
      <c r="G952" s="9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6" x14ac:dyDescent="0.3">
      <c r="A953" s="92"/>
      <c r="B953" s="92"/>
      <c r="C953" s="92"/>
      <c r="D953" s="92"/>
      <c r="E953" s="92"/>
      <c r="F953" s="92"/>
      <c r="G953" s="9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6" x14ac:dyDescent="0.3">
      <c r="A954" s="92"/>
      <c r="B954" s="92"/>
      <c r="C954" s="92"/>
      <c r="D954" s="92"/>
      <c r="E954" s="92"/>
      <c r="F954" s="92"/>
      <c r="G954" s="9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6" x14ac:dyDescent="0.3">
      <c r="A955" s="92"/>
      <c r="B955" s="92"/>
      <c r="C955" s="92"/>
      <c r="D955" s="92"/>
      <c r="E955" s="92"/>
      <c r="F955" s="92"/>
      <c r="G955" s="9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6" x14ac:dyDescent="0.3">
      <c r="A956" s="92"/>
      <c r="B956" s="92"/>
      <c r="C956" s="92"/>
      <c r="D956" s="92"/>
      <c r="E956" s="92"/>
      <c r="F956" s="92"/>
      <c r="G956" s="9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6" x14ac:dyDescent="0.3">
      <c r="A957" s="92"/>
      <c r="B957" s="92"/>
      <c r="C957" s="92"/>
      <c r="D957" s="92"/>
      <c r="E957" s="92"/>
      <c r="F957" s="92"/>
      <c r="G957" s="9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6" x14ac:dyDescent="0.3">
      <c r="A958" s="92"/>
      <c r="B958" s="92"/>
      <c r="C958" s="92"/>
      <c r="D958" s="92"/>
      <c r="E958" s="92"/>
      <c r="F958" s="92"/>
      <c r="G958" s="9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6" x14ac:dyDescent="0.3">
      <c r="A959" s="92"/>
      <c r="B959" s="92"/>
      <c r="C959" s="92"/>
      <c r="D959" s="92"/>
      <c r="E959" s="92"/>
      <c r="F959" s="92"/>
      <c r="G959" s="9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6" x14ac:dyDescent="0.3">
      <c r="A960" s="92"/>
      <c r="B960" s="92"/>
      <c r="C960" s="92"/>
      <c r="D960" s="92"/>
      <c r="E960" s="92"/>
      <c r="F960" s="92"/>
      <c r="G960" s="9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6" x14ac:dyDescent="0.3">
      <c r="A961" s="92"/>
      <c r="B961" s="92"/>
      <c r="C961" s="92"/>
      <c r="D961" s="92"/>
      <c r="E961" s="92"/>
      <c r="F961" s="92"/>
      <c r="G961" s="9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6" x14ac:dyDescent="0.3">
      <c r="A962" s="92"/>
      <c r="B962" s="92"/>
      <c r="C962" s="92"/>
      <c r="D962" s="92"/>
      <c r="E962" s="92"/>
      <c r="F962" s="92"/>
      <c r="G962" s="9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6" x14ac:dyDescent="0.3">
      <c r="A963" s="92"/>
      <c r="B963" s="92"/>
      <c r="C963" s="92"/>
      <c r="D963" s="92"/>
      <c r="E963" s="92"/>
      <c r="F963" s="92"/>
      <c r="G963" s="9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6" x14ac:dyDescent="0.3">
      <c r="A964" s="92"/>
      <c r="B964" s="92"/>
      <c r="C964" s="92"/>
      <c r="D964" s="92"/>
      <c r="E964" s="92"/>
      <c r="F964" s="92"/>
      <c r="G964" s="9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6" x14ac:dyDescent="0.3">
      <c r="A965" s="92"/>
      <c r="B965" s="92"/>
      <c r="C965" s="92"/>
      <c r="D965" s="92"/>
      <c r="E965" s="92"/>
      <c r="F965" s="92"/>
      <c r="G965" s="9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6" x14ac:dyDescent="0.3">
      <c r="A966" s="92"/>
      <c r="B966" s="92"/>
      <c r="C966" s="92"/>
      <c r="D966" s="92"/>
      <c r="E966" s="92"/>
      <c r="F966" s="92"/>
      <c r="G966" s="9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6" x14ac:dyDescent="0.3">
      <c r="A967" s="92"/>
      <c r="B967" s="92"/>
      <c r="C967" s="92"/>
      <c r="D967" s="92"/>
      <c r="E967" s="92"/>
      <c r="F967" s="92"/>
      <c r="G967" s="9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6" x14ac:dyDescent="0.3">
      <c r="A968" s="92"/>
      <c r="B968" s="92"/>
      <c r="C968" s="92"/>
      <c r="D968" s="92"/>
      <c r="E968" s="92"/>
      <c r="F968" s="92"/>
      <c r="G968" s="9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6" x14ac:dyDescent="0.3">
      <c r="A969" s="92"/>
      <c r="B969" s="92"/>
      <c r="C969" s="92"/>
      <c r="D969" s="92"/>
      <c r="E969" s="92"/>
      <c r="F969" s="92"/>
      <c r="G969" s="9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6" x14ac:dyDescent="0.3">
      <c r="A970" s="92"/>
      <c r="B970" s="92"/>
      <c r="C970" s="92"/>
      <c r="D970" s="92"/>
      <c r="E970" s="92"/>
      <c r="F970" s="92"/>
      <c r="G970" s="9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6" x14ac:dyDescent="0.3">
      <c r="A971" s="92"/>
      <c r="B971" s="92"/>
      <c r="C971" s="92"/>
      <c r="D971" s="92"/>
      <c r="E971" s="92"/>
      <c r="F971" s="92"/>
      <c r="G971" s="9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6" x14ac:dyDescent="0.3">
      <c r="A972" s="92"/>
      <c r="B972" s="92"/>
      <c r="C972" s="92"/>
      <c r="D972" s="92"/>
      <c r="E972" s="92"/>
      <c r="F972" s="92"/>
      <c r="G972" s="9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6" x14ac:dyDescent="0.3">
      <c r="A973" s="92"/>
      <c r="B973" s="92"/>
      <c r="C973" s="92"/>
      <c r="D973" s="92"/>
      <c r="E973" s="92"/>
      <c r="F973" s="92"/>
      <c r="G973" s="9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6" x14ac:dyDescent="0.3">
      <c r="A974" s="92"/>
      <c r="B974" s="92"/>
      <c r="C974" s="92"/>
      <c r="D974" s="92"/>
      <c r="E974" s="92"/>
      <c r="F974" s="92"/>
      <c r="G974" s="9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6" x14ac:dyDescent="0.3">
      <c r="A975" s="92"/>
      <c r="B975" s="92"/>
      <c r="C975" s="92"/>
      <c r="D975" s="92"/>
      <c r="E975" s="92"/>
      <c r="F975" s="92"/>
      <c r="G975" s="9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6" x14ac:dyDescent="0.3">
      <c r="A976" s="92"/>
      <c r="B976" s="92"/>
      <c r="C976" s="92"/>
      <c r="D976" s="92"/>
      <c r="E976" s="92"/>
      <c r="F976" s="92"/>
      <c r="G976" s="9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6" x14ac:dyDescent="0.3">
      <c r="A977" s="92"/>
      <c r="B977" s="92"/>
      <c r="C977" s="92"/>
      <c r="D977" s="92"/>
      <c r="E977" s="92"/>
      <c r="F977" s="92"/>
      <c r="G977" s="9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6" x14ac:dyDescent="0.3">
      <c r="A978" s="92"/>
      <c r="B978" s="92"/>
      <c r="C978" s="92"/>
      <c r="D978" s="92"/>
      <c r="E978" s="92"/>
      <c r="F978" s="92"/>
      <c r="G978" s="9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6" x14ac:dyDescent="0.3">
      <c r="A979" s="92"/>
      <c r="B979" s="92"/>
      <c r="C979" s="92"/>
      <c r="D979" s="92"/>
      <c r="E979" s="92"/>
      <c r="F979" s="92"/>
      <c r="G979" s="9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6" x14ac:dyDescent="0.3">
      <c r="A980" s="92"/>
      <c r="B980" s="92"/>
      <c r="C980" s="92"/>
      <c r="D980" s="92"/>
      <c r="E980" s="92"/>
      <c r="F980" s="92"/>
      <c r="G980" s="9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6" x14ac:dyDescent="0.3">
      <c r="A981" s="92"/>
      <c r="B981" s="92"/>
      <c r="C981" s="92"/>
      <c r="D981" s="92"/>
      <c r="E981" s="92"/>
      <c r="F981" s="92"/>
      <c r="G981" s="9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6" x14ac:dyDescent="0.3">
      <c r="A982" s="92"/>
      <c r="B982" s="92"/>
      <c r="C982" s="92"/>
      <c r="D982" s="92"/>
      <c r="E982" s="92"/>
      <c r="F982" s="92"/>
      <c r="G982" s="9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6" x14ac:dyDescent="0.3">
      <c r="A983" s="92"/>
      <c r="B983" s="92"/>
      <c r="C983" s="92"/>
      <c r="D983" s="92"/>
      <c r="E983" s="92"/>
      <c r="F983" s="92"/>
      <c r="G983" s="9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6" x14ac:dyDescent="0.3">
      <c r="A984" s="92"/>
      <c r="B984" s="92"/>
      <c r="C984" s="92"/>
      <c r="D984" s="92"/>
      <c r="E984" s="92"/>
      <c r="F984" s="92"/>
      <c r="G984" s="9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6" x14ac:dyDescent="0.3">
      <c r="A985" s="92"/>
      <c r="B985" s="92"/>
      <c r="C985" s="92"/>
      <c r="D985" s="92"/>
      <c r="E985" s="92"/>
      <c r="F985" s="92"/>
      <c r="G985" s="9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6" x14ac:dyDescent="0.3">
      <c r="A986" s="92"/>
      <c r="B986" s="92"/>
      <c r="C986" s="92"/>
      <c r="D986" s="92"/>
      <c r="E986" s="92"/>
      <c r="F986" s="92"/>
      <c r="G986" s="9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6" x14ac:dyDescent="0.3">
      <c r="A987" s="92"/>
      <c r="B987" s="92"/>
      <c r="C987" s="92"/>
      <c r="D987" s="92"/>
      <c r="E987" s="92"/>
      <c r="F987" s="92"/>
      <c r="G987" s="9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6" x14ac:dyDescent="0.3">
      <c r="A988" s="92"/>
      <c r="B988" s="92"/>
      <c r="C988" s="92"/>
      <c r="D988" s="92"/>
      <c r="E988" s="92"/>
      <c r="F988" s="92"/>
      <c r="G988" s="9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6" x14ac:dyDescent="0.3">
      <c r="A989" s="92"/>
      <c r="B989" s="92"/>
      <c r="C989" s="92"/>
      <c r="D989" s="92"/>
      <c r="E989" s="92"/>
      <c r="F989" s="92"/>
      <c r="G989" s="9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6" x14ac:dyDescent="0.3">
      <c r="A990" s="92"/>
      <c r="B990" s="92"/>
      <c r="C990" s="92"/>
      <c r="D990" s="92"/>
      <c r="E990" s="92"/>
      <c r="F990" s="92"/>
      <c r="G990" s="9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6" x14ac:dyDescent="0.3">
      <c r="A991" s="92"/>
      <c r="B991" s="92"/>
      <c r="C991" s="92"/>
      <c r="D991" s="92"/>
      <c r="E991" s="92"/>
      <c r="F991" s="92"/>
      <c r="G991" s="9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6" x14ac:dyDescent="0.3">
      <c r="A992" s="92"/>
      <c r="B992" s="92"/>
      <c r="C992" s="92"/>
      <c r="D992" s="92"/>
      <c r="E992" s="92"/>
      <c r="F992" s="92"/>
      <c r="G992" s="9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6" x14ac:dyDescent="0.3">
      <c r="A993" s="92"/>
      <c r="B993" s="92"/>
      <c r="C993" s="92"/>
      <c r="D993" s="92"/>
      <c r="E993" s="92"/>
      <c r="F993" s="92"/>
      <c r="G993" s="9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6" x14ac:dyDescent="0.3">
      <c r="A994" s="92"/>
      <c r="B994" s="92"/>
      <c r="C994" s="92"/>
      <c r="D994" s="92"/>
      <c r="E994" s="92"/>
      <c r="F994" s="92"/>
      <c r="G994" s="9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6" x14ac:dyDescent="0.3">
      <c r="A995" s="92"/>
      <c r="B995" s="92"/>
      <c r="C995" s="92"/>
      <c r="D995" s="92"/>
      <c r="E995" s="92"/>
      <c r="F995" s="92"/>
      <c r="G995" s="9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6" x14ac:dyDescent="0.3">
      <c r="A996" s="92"/>
      <c r="B996" s="92"/>
      <c r="C996" s="92"/>
      <c r="D996" s="92"/>
      <c r="E996" s="92"/>
      <c r="F996" s="92"/>
      <c r="G996" s="9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6" x14ac:dyDescent="0.3">
      <c r="A997" s="92"/>
      <c r="B997" s="92"/>
      <c r="C997" s="92"/>
      <c r="D997" s="92"/>
      <c r="E997" s="92"/>
      <c r="F997" s="92"/>
      <c r="G997" s="9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6" x14ac:dyDescent="0.3">
      <c r="A998" s="92"/>
      <c r="B998" s="92"/>
      <c r="C998" s="92"/>
      <c r="D998" s="92"/>
      <c r="E998" s="92"/>
      <c r="F998" s="92"/>
      <c r="G998" s="9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6" x14ac:dyDescent="0.3">
      <c r="A999" s="92"/>
      <c r="B999" s="92"/>
      <c r="C999" s="92"/>
      <c r="D999" s="92"/>
      <c r="E999" s="92"/>
      <c r="F999" s="92"/>
      <c r="G999" s="9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6" x14ac:dyDescent="0.3">
      <c r="A1000" s="92"/>
      <c r="B1000" s="92"/>
      <c r="C1000" s="92"/>
      <c r="D1000" s="92"/>
      <c r="E1000" s="92"/>
      <c r="F1000" s="92"/>
      <c r="G1000" s="9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">
    <mergeCell ref="A30:A31"/>
    <mergeCell ref="G30:G31"/>
    <mergeCell ref="A2:G2"/>
    <mergeCell ref="A3:G3"/>
    <mergeCell ref="A4:G4"/>
    <mergeCell ref="A5:G5"/>
    <mergeCell ref="A10:A11"/>
    <mergeCell ref="A20:A21"/>
    <mergeCell ref="F20:F21"/>
  </mergeCells>
  <pageMargins left="0.7" right="0.7" top="0.75" bottom="0.75" header="0" footer="0"/>
  <pageSetup scale="6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PERENCANAAN ANGGARAN</vt:lpstr>
      <vt:lpstr>KEUANGAN (XIX.B)</vt:lpstr>
      <vt:lpstr>B.1 (BAP Kas)</vt:lpstr>
      <vt:lpstr>I.B</vt:lpstr>
      <vt:lpstr>I.C</vt:lpstr>
      <vt:lpstr>I.D</vt:lpstr>
      <vt:lpstr>SAKIP (I.E)</vt:lpstr>
      <vt:lpstr>I.E</vt:lpstr>
      <vt:lpstr>I.F</vt:lpstr>
      <vt:lpstr>I.i</vt:lpstr>
      <vt:lpstr>Sheet2</vt:lpstr>
      <vt:lpstr>SUBSTANSI (I.)</vt:lpstr>
      <vt:lpstr>KARTU KENDALI GRATIFIKASI </vt:lpstr>
      <vt:lpstr>KARTU KENDALI GRATIFIKASI (I.I)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SITI-DJUBAIDAH</dc:creator>
  <cp:lastModifiedBy>MyBook PRO K7</cp:lastModifiedBy>
  <cp:lastPrinted>2025-04-28T09:13:20Z</cp:lastPrinted>
  <dcterms:created xsi:type="dcterms:W3CDTF">2016-08-11T08:38:00Z</dcterms:created>
  <dcterms:modified xsi:type="dcterms:W3CDTF">2026-04-03T17:12:27Z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79FC2E5FB45C45F09AD83E512FFD0EEE</vt:lpwstr>
  </property>
  <property fmtid="{D5CDD505-2E9C-101B-9397-08002B2CF9AE}" pid="3" name="KSOProductBuildVer">
    <vt:lpwstr>1033-11.2.0.11486</vt:lpwstr>
  </property>
</Properties>
</file>